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updateLinks="always"/>
  <mc:AlternateContent xmlns:mc="http://schemas.openxmlformats.org/markup-compatibility/2006">
    <mc:Choice Requires="x15">
      <x15ac:absPath xmlns:x15ac="http://schemas.microsoft.com/office/spreadsheetml/2010/11/ac" url="https://d.docs.live.net/01a0fa691d892b64/Документы/INS/"/>
    </mc:Choice>
  </mc:AlternateContent>
  <xr:revisionPtr revIDLastSave="0" documentId="8_{94F2F419-799E-4797-9965-63CE0BE93500}" xr6:coauthVersionLast="47" xr6:coauthVersionMax="47" xr10:uidLastSave="{00000000-0000-0000-0000-000000000000}"/>
  <bookViews>
    <workbookView xWindow="-108" yWindow="-108" windowWidth="23256" windowHeight="12456" firstSheet="6" activeTab="5" xr2:uid="{00000000-000D-0000-FFFF-FFFF00000000}"/>
  </bookViews>
  <sheets>
    <sheet name="Licence - obecně" sheetId="2" r:id="rId1"/>
    <sheet name="Licence - moduly" sheetId="1" r:id="rId2"/>
    <sheet name="Ceník prací" sheetId="8" r:id="rId3"/>
    <sheet name="Moduly - práce celkem" sheetId="4" r:id="rId4"/>
    <sheet name="Moduly - práce etapy" sheetId="7" r:id="rId5"/>
    <sheet name="Obvyklý průběh implementace" sheetId="6" r:id="rId6"/>
    <sheet name="Celkem za implementaci" sheetId="9" r:id="rId7"/>
    <sheet name="Finanční analýza" sheetId="10" r:id="rId8"/>
  </sheets>
  <externalReferences>
    <externalReference r:id="rId9"/>
  </externalReferences>
  <definedNames>
    <definedName name="_xlnm._FilterDatabase" localSheetId="4" hidden="1">'Moduly - práce etapy'!$A$1:$X$34</definedName>
    <definedName name="Analýza">'Ceník prací'!$C$3</definedName>
    <definedName name="Diskont">'Finanční analýza'!$B$3</definedName>
    <definedName name="Koeficient_korekce">'Ceník prací'!$C$10</definedName>
    <definedName name="Konfigurace__vývoj">'Ceník prací'!$C$4</definedName>
    <definedName name="Migrace">'Ceník prací'!$C$5</definedName>
    <definedName name="Ostatní">'Ceník prací'!$C$9</definedName>
    <definedName name="Práva">'Ceník prací'!$C$6</definedName>
    <definedName name="Tvorba_dokumentace">'Ceník prací'!$C$7</definedName>
    <definedName name="Vedení_projektu">'Ceník prací'!$C$8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7" i="6" l="1"/>
  <c r="I2" i="7"/>
  <c r="C12" i="10"/>
  <c r="O3" i="7"/>
  <c r="H11" i="4"/>
  <c r="H10" i="4"/>
  <c r="G12" i="10"/>
  <c r="F12" i="10"/>
  <c r="E12" i="10"/>
  <c r="D12" i="10"/>
  <c r="L23" i="10"/>
  <c r="L20" i="10"/>
  <c r="L13" i="10"/>
  <c r="L30" i="10" s="1"/>
  <c r="L10" i="10"/>
  <c r="L29" i="10" s="1"/>
  <c r="N30" i="4"/>
  <c r="M30" i="4"/>
  <c r="H30" i="4"/>
  <c r="N29" i="4"/>
  <c r="M29" i="4"/>
  <c r="N28" i="4"/>
  <c r="M28" i="4"/>
  <c r="N27" i="4"/>
  <c r="M27" i="4"/>
  <c r="H27" i="4"/>
  <c r="N26" i="4"/>
  <c r="M26" i="4"/>
  <c r="N25" i="4"/>
  <c r="M25" i="4"/>
  <c r="N24" i="4"/>
  <c r="M24" i="4"/>
  <c r="H24" i="4"/>
  <c r="N23" i="4"/>
  <c r="M23" i="4"/>
  <c r="N22" i="4"/>
  <c r="M22" i="4"/>
  <c r="H22" i="4"/>
  <c r="N21" i="4"/>
  <c r="M21" i="4"/>
  <c r="N20" i="4"/>
  <c r="M20" i="4"/>
  <c r="N19" i="4"/>
  <c r="M19" i="4"/>
  <c r="N18" i="4"/>
  <c r="M18" i="4"/>
  <c r="H18" i="4"/>
  <c r="N17" i="4"/>
  <c r="M17" i="4"/>
  <c r="H17" i="4"/>
  <c r="N16" i="4"/>
  <c r="M16" i="4"/>
  <c r="H16" i="4"/>
  <c r="N15" i="4"/>
  <c r="M15" i="4"/>
  <c r="H15" i="4"/>
  <c r="N14" i="4"/>
  <c r="M14" i="4"/>
  <c r="N13" i="4"/>
  <c r="M13" i="4"/>
  <c r="H13" i="4"/>
  <c r="N12" i="4"/>
  <c r="M12" i="4"/>
  <c r="H12" i="4"/>
  <c r="N11" i="4"/>
  <c r="M11" i="4"/>
  <c r="N10" i="4"/>
  <c r="M10" i="4"/>
  <c r="N9" i="4"/>
  <c r="M9" i="4"/>
  <c r="H9" i="4"/>
  <c r="N8" i="4"/>
  <c r="M8" i="4"/>
  <c r="H8" i="4"/>
  <c r="N7" i="4"/>
  <c r="M7" i="4"/>
  <c r="H7" i="4"/>
  <c r="N6" i="4"/>
  <c r="M6" i="4"/>
  <c r="H6" i="4"/>
  <c r="N5" i="4"/>
  <c r="H5" i="4"/>
  <c r="N4" i="4"/>
  <c r="M4" i="4"/>
  <c r="H4" i="4"/>
  <c r="N3" i="4"/>
  <c r="M3" i="4"/>
  <c r="H3" i="4"/>
  <c r="N2" i="4"/>
  <c r="M2" i="4"/>
  <c r="H2" i="4"/>
  <c r="H58" i="1"/>
  <c r="H57" i="1"/>
  <c r="H56" i="1"/>
  <c r="H55" i="1"/>
  <c r="H54" i="1"/>
  <c r="H59" i="1" s="1"/>
  <c r="D50" i="1"/>
  <c r="H49" i="1"/>
  <c r="H48" i="1"/>
  <c r="H47" i="1"/>
  <c r="H46" i="1"/>
  <c r="H50" i="1" s="1"/>
  <c r="G45" i="1"/>
  <c r="H45" i="1" s="1"/>
  <c r="D41" i="1"/>
  <c r="G40" i="1"/>
  <c r="H40" i="1" s="1"/>
  <c r="H39" i="1"/>
  <c r="H38" i="1"/>
  <c r="H37" i="1"/>
  <c r="H41" i="1" s="1"/>
  <c r="D33" i="1"/>
  <c r="H32" i="1"/>
  <c r="H31" i="1"/>
  <c r="H30" i="1"/>
  <c r="H29" i="1"/>
  <c r="H28" i="1"/>
  <c r="H27" i="1"/>
  <c r="H26" i="1"/>
  <c r="H25" i="1"/>
  <c r="H24" i="1"/>
  <c r="H23" i="1"/>
  <c r="H22" i="1"/>
  <c r="H21" i="1"/>
  <c r="H20" i="1"/>
  <c r="H19" i="1"/>
  <c r="H18" i="1"/>
  <c r="H17" i="1"/>
  <c r="H16" i="1"/>
  <c r="H15" i="1"/>
  <c r="H14" i="1"/>
  <c r="H13" i="1"/>
  <c r="H12" i="1"/>
  <c r="H11" i="1"/>
  <c r="H10" i="1"/>
  <c r="H9" i="1"/>
  <c r="H8" i="1"/>
  <c r="H7" i="1"/>
  <c r="H6" i="1"/>
  <c r="H33" i="1" s="1"/>
  <c r="H61" i="1" s="1"/>
  <c r="H62" i="1" s="1"/>
  <c r="H5" i="1"/>
  <c r="H4" i="1"/>
  <c r="G33" i="6"/>
  <c r="M31" i="4" l="1"/>
  <c r="M32" i="4" s="1"/>
  <c r="N31" i="4"/>
  <c r="N32" i="4" s="1"/>
  <c r="C13" i="10"/>
  <c r="C14" i="10" s="1"/>
  <c r="G16" i="10" l="1"/>
  <c r="G39" i="6" l="1"/>
  <c r="E39" i="6"/>
  <c r="G38" i="6"/>
  <c r="E38" i="6"/>
  <c r="G34" i="6"/>
  <c r="E34" i="6"/>
  <c r="G32" i="6"/>
  <c r="E32" i="6"/>
  <c r="G31" i="6"/>
  <c r="G25" i="6"/>
  <c r="E25" i="6"/>
  <c r="G10" i="6"/>
  <c r="E10" i="6"/>
  <c r="E17" i="6"/>
  <c r="I39" i="6" l="1"/>
  <c r="I38" i="6"/>
  <c r="I36" i="6"/>
  <c r="I35" i="6"/>
  <c r="I34" i="6"/>
  <c r="I32" i="6"/>
  <c r="I28" i="6"/>
  <c r="I27" i="6"/>
  <c r="I26" i="6"/>
  <c r="I25" i="6"/>
  <c r="I23" i="6"/>
  <c r="I21" i="6"/>
  <c r="I20" i="6"/>
  <c r="I19" i="6"/>
  <c r="I18" i="6"/>
  <c r="I16" i="6"/>
  <c r="I15" i="6"/>
  <c r="I13" i="6"/>
  <c r="I12" i="6"/>
  <c r="I11" i="6"/>
  <c r="I10" i="6"/>
  <c r="I9" i="6"/>
  <c r="I8" i="6"/>
  <c r="I7" i="6"/>
  <c r="I6" i="6"/>
  <c r="I5" i="6"/>
  <c r="G41" i="6"/>
  <c r="E41" i="6"/>
  <c r="G42" i="6"/>
  <c r="G40" i="6"/>
  <c r="G37" i="6"/>
  <c r="G30" i="6"/>
  <c r="G29" i="6"/>
  <c r="G24" i="6"/>
  <c r="G22" i="6"/>
  <c r="G17" i="6"/>
  <c r="I17" i="6" s="1"/>
  <c r="G14" i="6"/>
  <c r="G4" i="6"/>
  <c r="I4" i="6" s="1"/>
  <c r="E42" i="6"/>
  <c r="I42" i="6" s="1"/>
  <c r="E40" i="6"/>
  <c r="E37" i="6"/>
  <c r="E33" i="6"/>
  <c r="I33" i="6" s="1"/>
  <c r="E31" i="6"/>
  <c r="I31" i="6" s="1"/>
  <c r="E30" i="6"/>
  <c r="E29" i="6"/>
  <c r="I29" i="6" s="1"/>
  <c r="E24" i="6"/>
  <c r="E22" i="6"/>
  <c r="I22" i="6" s="1"/>
  <c r="E14" i="6"/>
  <c r="I14" i="6" s="1"/>
  <c r="E4" i="6"/>
  <c r="W30" i="7"/>
  <c r="W29" i="7"/>
  <c r="W28" i="7"/>
  <c r="W27" i="7"/>
  <c r="W26" i="7"/>
  <c r="W25" i="7"/>
  <c r="W24" i="7"/>
  <c r="W23" i="7"/>
  <c r="W22" i="7"/>
  <c r="W21" i="7"/>
  <c r="W20" i="7"/>
  <c r="W19" i="7"/>
  <c r="W18" i="7"/>
  <c r="W17" i="7"/>
  <c r="W16" i="7"/>
  <c r="W15" i="7"/>
  <c r="W14" i="7"/>
  <c r="W13" i="7"/>
  <c r="W12" i="7"/>
  <c r="W11" i="7"/>
  <c r="W10" i="7"/>
  <c r="W9" i="7"/>
  <c r="W8" i="7"/>
  <c r="W7" i="7"/>
  <c r="W6" i="7"/>
  <c r="W5" i="7"/>
  <c r="W4" i="7"/>
  <c r="W3" i="7"/>
  <c r="V30" i="7"/>
  <c r="V29" i="7"/>
  <c r="V28" i="7"/>
  <c r="V27" i="7"/>
  <c r="V26" i="7"/>
  <c r="V25" i="7"/>
  <c r="V24" i="7"/>
  <c r="V23" i="7"/>
  <c r="V22" i="7"/>
  <c r="V21" i="7"/>
  <c r="V20" i="7"/>
  <c r="V19" i="7"/>
  <c r="V18" i="7"/>
  <c r="V17" i="7"/>
  <c r="V16" i="7"/>
  <c r="V15" i="7"/>
  <c r="V14" i="7"/>
  <c r="V13" i="7"/>
  <c r="V12" i="7"/>
  <c r="V11" i="7"/>
  <c r="V10" i="7"/>
  <c r="V9" i="7"/>
  <c r="V8" i="7"/>
  <c r="V7" i="7"/>
  <c r="V6" i="7"/>
  <c r="V5" i="7"/>
  <c r="V4" i="7"/>
  <c r="V3" i="7"/>
  <c r="W2" i="7"/>
  <c r="V2" i="7"/>
  <c r="D5" i="9"/>
  <c r="D6" i="9"/>
  <c r="D7" i="9"/>
  <c r="D4" i="9"/>
  <c r="L42" i="6"/>
  <c r="L41" i="6"/>
  <c r="L40" i="6"/>
  <c r="L39" i="6"/>
  <c r="L38" i="6"/>
  <c r="L36" i="6"/>
  <c r="L35" i="6"/>
  <c r="L34" i="6"/>
  <c r="L33" i="6"/>
  <c r="L32" i="6"/>
  <c r="L31" i="6"/>
  <c r="L30" i="6"/>
  <c r="L29" i="6"/>
  <c r="L28" i="6"/>
  <c r="L27" i="6"/>
  <c r="L26" i="6"/>
  <c r="L25" i="6"/>
  <c r="L24" i="6"/>
  <c r="L23" i="6"/>
  <c r="L22" i="6"/>
  <c r="L21" i="6"/>
  <c r="L20" i="6"/>
  <c r="L19" i="6"/>
  <c r="L18" i="6"/>
  <c r="L17" i="6"/>
  <c r="L16" i="6"/>
  <c r="L15" i="6"/>
  <c r="L14" i="6"/>
  <c r="L13" i="6"/>
  <c r="L12" i="6"/>
  <c r="L11" i="6"/>
  <c r="L10" i="6"/>
  <c r="L7" i="6"/>
  <c r="L6" i="6"/>
  <c r="L4"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I3" i="7"/>
  <c r="R30" i="7"/>
  <c r="R29" i="7"/>
  <c r="R28" i="7"/>
  <c r="R27" i="7"/>
  <c r="R26" i="7"/>
  <c r="R25" i="7"/>
  <c r="R24" i="7"/>
  <c r="R23" i="7"/>
  <c r="R22" i="7"/>
  <c r="R21" i="7"/>
  <c r="R20" i="7"/>
  <c r="R19" i="7"/>
  <c r="R18" i="7"/>
  <c r="R17" i="7"/>
  <c r="R16" i="7"/>
  <c r="R15" i="7"/>
  <c r="R14" i="7"/>
  <c r="R13" i="7"/>
  <c r="R12" i="7"/>
  <c r="R11" i="7"/>
  <c r="R10" i="7"/>
  <c r="R9" i="7"/>
  <c r="R8" i="7"/>
  <c r="R7" i="7"/>
  <c r="R6" i="7"/>
  <c r="R5" i="7"/>
  <c r="R4" i="7"/>
  <c r="R3" i="7"/>
  <c r="R2" i="7"/>
  <c r="O30" i="7"/>
  <c r="O29" i="7"/>
  <c r="O28" i="7"/>
  <c r="O27" i="7"/>
  <c r="O26" i="7"/>
  <c r="O25" i="7"/>
  <c r="O24" i="7"/>
  <c r="O23" i="7"/>
  <c r="O22" i="7"/>
  <c r="O21" i="7"/>
  <c r="O20" i="7"/>
  <c r="O19" i="7"/>
  <c r="O18" i="7"/>
  <c r="O17" i="7"/>
  <c r="O16" i="7"/>
  <c r="O15" i="7"/>
  <c r="O14" i="7"/>
  <c r="O13" i="7"/>
  <c r="O12" i="7"/>
  <c r="O11" i="7"/>
  <c r="O10" i="7"/>
  <c r="O9" i="7"/>
  <c r="O8" i="7"/>
  <c r="O7" i="7"/>
  <c r="O6" i="7"/>
  <c r="O5" i="7"/>
  <c r="O4" i="7"/>
  <c r="O2" i="7"/>
  <c r="L30" i="7"/>
  <c r="L29" i="7"/>
  <c r="L28" i="7"/>
  <c r="L27" i="7"/>
  <c r="L26" i="7"/>
  <c r="L25" i="7"/>
  <c r="L24" i="7"/>
  <c r="L23" i="7"/>
  <c r="L22" i="7"/>
  <c r="L21" i="7"/>
  <c r="L20" i="7"/>
  <c r="L19" i="7"/>
  <c r="L18" i="7"/>
  <c r="L17" i="7"/>
  <c r="L16" i="7"/>
  <c r="L15" i="7"/>
  <c r="L14" i="7"/>
  <c r="L13" i="7"/>
  <c r="L12" i="7"/>
  <c r="L11" i="7"/>
  <c r="L10" i="7"/>
  <c r="L9" i="7"/>
  <c r="L8" i="7"/>
  <c r="L7" i="7"/>
  <c r="L6" i="7"/>
  <c r="L5" i="7"/>
  <c r="L4" i="7"/>
  <c r="L3" i="7"/>
  <c r="L2" i="7"/>
  <c r="I30" i="7"/>
  <c r="I29" i="7"/>
  <c r="I28" i="7"/>
  <c r="I27" i="7"/>
  <c r="I26" i="7"/>
  <c r="I25" i="7"/>
  <c r="I24" i="7"/>
  <c r="I23" i="7"/>
  <c r="I22" i="7"/>
  <c r="I21" i="7"/>
  <c r="I20" i="7"/>
  <c r="I19" i="7"/>
  <c r="I18" i="7"/>
  <c r="I17" i="7"/>
  <c r="I16" i="7"/>
  <c r="I15" i="7"/>
  <c r="I14" i="7"/>
  <c r="I13" i="7"/>
  <c r="I12" i="7"/>
  <c r="I11" i="7"/>
  <c r="I10" i="7"/>
  <c r="I9" i="7"/>
  <c r="I8" i="7"/>
  <c r="I7" i="7"/>
  <c r="I6" i="7"/>
  <c r="I5" i="7"/>
  <c r="I4" i="7"/>
  <c r="X11" i="7" l="1"/>
  <c r="X4" i="7"/>
  <c r="X8" i="7"/>
  <c r="X12" i="7"/>
  <c r="X16" i="7"/>
  <c r="X20" i="7"/>
  <c r="X24" i="7"/>
  <c r="X28" i="7"/>
  <c r="X3" i="7"/>
  <c r="X6" i="7"/>
  <c r="X5" i="7"/>
  <c r="X9" i="7"/>
  <c r="X17" i="7"/>
  <c r="X2" i="7"/>
  <c r="X10" i="7"/>
  <c r="X18" i="7"/>
  <c r="X13" i="7"/>
  <c r="X21" i="7"/>
  <c r="X25" i="7"/>
  <c r="X29" i="7"/>
  <c r="X14" i="7"/>
  <c r="X22" i="7"/>
  <c r="X26" i="7"/>
  <c r="I24" i="6"/>
  <c r="X7" i="7"/>
  <c r="X15" i="7"/>
  <c r="X19" i="7"/>
  <c r="X23" i="7"/>
  <c r="X27" i="7"/>
  <c r="I41" i="6"/>
  <c r="I40" i="6"/>
  <c r="I37" i="6"/>
  <c r="I30" i="6"/>
  <c r="H43" i="6"/>
  <c r="X30" i="7"/>
  <c r="G43" i="6"/>
  <c r="E43" i="6"/>
  <c r="W31" i="7"/>
  <c r="W32" i="7" s="1"/>
  <c r="V31" i="7"/>
  <c r="V32" i="7" s="1"/>
  <c r="D8" i="9"/>
  <c r="B16" i="9" s="1"/>
  <c r="B9" i="10" s="1"/>
  <c r="I43" i="6" l="1"/>
  <c r="B15" i="9"/>
  <c r="B8" i="10" s="1"/>
  <c r="B14" i="9"/>
  <c r="B7" i="10" s="1"/>
  <c r="U30" i="7"/>
  <c r="U23" i="7"/>
  <c r="U24" i="7"/>
  <c r="U25" i="7"/>
  <c r="U26" i="7"/>
  <c r="U27" i="7"/>
  <c r="U28" i="7"/>
  <c r="U29" i="7"/>
  <c r="U12" i="7"/>
  <c r="U13" i="7"/>
  <c r="U14" i="7"/>
  <c r="U15" i="7"/>
  <c r="U16" i="7"/>
  <c r="U17" i="7"/>
  <c r="U18" i="7"/>
  <c r="U19" i="7"/>
  <c r="U20" i="7"/>
  <c r="U21" i="7"/>
  <c r="U22" i="7"/>
  <c r="U3" i="7"/>
  <c r="U4" i="7"/>
  <c r="U5" i="7"/>
  <c r="U6" i="7"/>
  <c r="U7" i="7"/>
  <c r="U8" i="7"/>
  <c r="U9" i="7"/>
  <c r="U10" i="7"/>
  <c r="U11" i="7"/>
  <c r="U2" i="7"/>
  <c r="R31" i="7"/>
  <c r="R32" i="7" s="1"/>
  <c r="O31" i="7"/>
  <c r="O32" i="7" s="1"/>
  <c r="L31" i="7"/>
  <c r="L32" i="7" s="1"/>
  <c r="I31" i="7"/>
  <c r="I32" i="7" s="1"/>
  <c r="T31" i="7"/>
  <c r="T32" i="7" s="1"/>
  <c r="S31" i="7"/>
  <c r="S32" i="7" s="1"/>
  <c r="Q31" i="7"/>
  <c r="Q32" i="7" s="1"/>
  <c r="P31" i="7"/>
  <c r="P32" i="7" s="1"/>
  <c r="N31" i="7"/>
  <c r="N32" i="7" s="1"/>
  <c r="M31" i="7"/>
  <c r="M32" i="7" s="1"/>
  <c r="K31" i="7"/>
  <c r="K32" i="7" s="1"/>
  <c r="J31" i="7"/>
  <c r="J32" i="7" s="1"/>
  <c r="H30" i="7"/>
  <c r="H29" i="7"/>
  <c r="H28" i="7"/>
  <c r="H27" i="7"/>
  <c r="H26" i="7"/>
  <c r="H25" i="7"/>
  <c r="H24" i="7"/>
  <c r="H23" i="7"/>
  <c r="H22" i="7"/>
  <c r="H21" i="7"/>
  <c r="H20" i="7"/>
  <c r="H19" i="7"/>
  <c r="H18" i="7"/>
  <c r="H17" i="7"/>
  <c r="H16" i="7"/>
  <c r="H15" i="7"/>
  <c r="H13" i="7"/>
  <c r="H12" i="7"/>
  <c r="H11" i="7"/>
  <c r="H10" i="7"/>
  <c r="H9" i="7"/>
  <c r="H8" i="7"/>
  <c r="H7" i="7"/>
  <c r="H6" i="7"/>
  <c r="H5" i="7"/>
  <c r="H4" i="7"/>
  <c r="H3" i="7"/>
  <c r="H2" i="7"/>
  <c r="F43" i="6"/>
  <c r="D43" i="6"/>
  <c r="J33" i="7" l="1"/>
  <c r="K33" i="7"/>
  <c r="J9" i="6"/>
  <c r="S33" i="7"/>
  <c r="K9" i="6"/>
  <c r="T33" i="7"/>
  <c r="J8" i="6"/>
  <c r="P33" i="7"/>
  <c r="K8" i="6"/>
  <c r="Q33" i="7"/>
  <c r="K5" i="6"/>
  <c r="N33" i="7"/>
  <c r="M33" i="7"/>
  <c r="U31" i="7"/>
  <c r="U32" i="7" s="1"/>
  <c r="X31" i="7"/>
  <c r="X32" i="7" s="1"/>
  <c r="L5" i="6" l="1"/>
  <c r="L8" i="6"/>
  <c r="L9" i="6"/>
  <c r="J43" i="6"/>
  <c r="B23" i="10" s="1"/>
  <c r="K43" i="6"/>
  <c r="B24" i="10" s="1"/>
  <c r="L43" i="6" l="1"/>
  <c r="B25" i="10" s="1"/>
  <c r="B13" i="9" l="1"/>
  <c r="B18" i="9"/>
  <c r="E10" i="10" l="1"/>
  <c r="E13" i="10" s="1"/>
  <c r="E14" i="10" s="1"/>
  <c r="D10" i="10"/>
  <c r="D13" i="10" s="1"/>
  <c r="D14" i="10" s="1"/>
  <c r="G10" i="10"/>
  <c r="G13" i="10" s="1"/>
  <c r="G14" i="10" s="1"/>
  <c r="F10" i="10"/>
  <c r="F13" i="10" s="1"/>
  <c r="F14" i="10" s="1"/>
  <c r="B17" i="9"/>
  <c r="B6" i="10"/>
  <c r="B13" i="10" l="1"/>
  <c r="B14" i="10" s="1"/>
  <c r="G17" i="10" s="1"/>
  <c r="G15" i="10"/>
  <c r="G18" i="10" s="1"/>
</calcChain>
</file>

<file path=xl/sharedStrings.xml><?xml version="1.0" encoding="utf-8"?>
<sst xmlns="http://schemas.openxmlformats.org/spreadsheetml/2006/main" count="571" uniqueCount="326">
  <si>
    <t>Licenční a cenový model systému INS@sáček</t>
  </si>
  <si>
    <t>1.</t>
  </si>
  <si>
    <t xml:space="preserve">Licence je pevná a lze ji jen rozšiřovat. </t>
  </si>
  <si>
    <t>2.</t>
  </si>
  <si>
    <t>Licence zahrnuje přístup k funkčním/systémovým modulům a konkurenční "plnohodnotné" uživatelé (viz záložka "Licence - moduly").</t>
  </si>
  <si>
    <t>3.</t>
  </si>
  <si>
    <t>Každá licence vždy zahrnuje "jádro systému" (na záložce "Licence - moduly" indikováno ve sloupci "Jádro systému" a označeno zelenou barvou).</t>
  </si>
  <si>
    <t>4.</t>
  </si>
  <si>
    <t>Moduly nad rámec "jádra systému" je možné pořizovat a kombinovat bez omezení.</t>
  </si>
  <si>
    <t>5.</t>
  </si>
  <si>
    <t>Vybrané moduly vyžadují pořízení návazných modulů, bez jejichž pořízení nebude systém korektně fungovat (na záložce "Licence - moduly" indikováno ve sloupci "Nutné pořídit návazný funkční blok..." a označením návazného modulu).</t>
  </si>
  <si>
    <t>6.</t>
  </si>
  <si>
    <t>Obdobně existuje vazba mezi vybranými funkčními a systémovými moduly (na záložce "Licence - moduly" indikováno ve sloupci "Vazba na systémový modul" a označením návazného systémového modulu).</t>
  </si>
  <si>
    <t>7.</t>
  </si>
  <si>
    <t>V systému lze založit libovolný počet uživatelů, ale jen ti, kteří mají přiřazenou licenci, mohou se systémem pracovat plnohodnotně (nejen číst, ale i modifikovat).</t>
  </si>
  <si>
    <t>8.</t>
  </si>
  <si>
    <t>Uživatel bez licence má právo jen pro čtení položek.</t>
  </si>
  <si>
    <t>9.</t>
  </si>
  <si>
    <t>"Jádro systému" obsahuje 5 konkurenčních "plnohodnotných" uživatelů.</t>
  </si>
  <si>
    <t>10.</t>
  </si>
  <si>
    <t>Licence pro rožšíření počtu "plnohodnotných" uživatelů lze pořizovat jednotlivě nebo ve zvýhodněných balíčcích (viz záložka "Licence - moduly").</t>
  </si>
  <si>
    <t>11.</t>
  </si>
  <si>
    <t>Součástí jádra systému je klient (aplikace) na platformě .NET. Otatní typy klientů je nutné pořídit samostatně (viz záložka "Licence - moduly").</t>
  </si>
  <si>
    <t>12.</t>
  </si>
  <si>
    <t>Systém standardně podporuje jen české a anglické uživatelské rozhraní. Další jazykové mutace se objednávají samostatně (viz záložka "Celkem za implementaci").</t>
  </si>
  <si>
    <t>13.</t>
  </si>
  <si>
    <t>Databázový ani aplikační server, stejně jako další HW a SW, nejsou součástí licence a nutné je pořídit samostatně.</t>
  </si>
  <si>
    <t>14.</t>
  </si>
  <si>
    <t>Instalaci databázového a aplikačního serveru si může provést zákazník sám nebo objednat jako doplňkovou dodávku formou jednotlivé instalace nebo instalačního balíčku (viz záložka "Celkem za implementaci").</t>
  </si>
  <si>
    <t>15.</t>
  </si>
  <si>
    <t>Instalace (zprovoznění) klientů na stanicích uživatelů si může provést zákazník sám nebo objednat jako doplňkovou dodávku. V případě objednávky cena vychází z typu klientů, jejich počtu a počtu poboček, na kterých se klient instaluje. V případě více poboček je nutné uvažovat o způsobu a zabezpečení připojení k aplikačnímu serveru.</t>
  </si>
  <si>
    <t>17.</t>
  </si>
  <si>
    <t>Zákazník je povinen platit po ukončení implementace a uvedení do provozu pravidelný roční maintenance popaltek ve výši 20% z celkové aktuální ceny licencí.</t>
  </si>
  <si>
    <t>18.</t>
  </si>
  <si>
    <t>"Jádro systému" obsahuje maintenance poplatek na první rok používání systému.</t>
  </si>
  <si>
    <t>19.</t>
  </si>
  <si>
    <t>Maintenance poplatek nezahrnuje podporu a údržbu systému. Rozsah a náplň jsou definovány samostatnou smlouvou o podpoře systému.</t>
  </si>
  <si>
    <t>20.</t>
  </si>
  <si>
    <t>Poznámka: na záložce "Moduly - práce etapy" je kontrolováno, že souhlasí celkový odhad se součtem po etapách. V případě, že nesouhlasí, je na to uživatel upozorněn barevným zvýrazněním celkového odhadu.</t>
  </si>
  <si>
    <t>21.</t>
  </si>
  <si>
    <t>Poznámka: tento konfigurátor počítá s implementací ve dvou etapách.V případě potřeby změny je možné přidat další etapy nebo jednu etapu ubrat.</t>
  </si>
  <si>
    <t>22.</t>
  </si>
  <si>
    <t>Poznámka: Výpočet cen na záložce "Obvyklý průběh implementace" je založený na ceníku prací ze záložky "Ceník prací. Před finalizací výpočtu je vhodné se zamyslet, zda předpřipravenévýpočty odpovídají realitě. Tj. zda danou práci bude skutečně vykonávat role, ve vzorci uvedená. Pokud ne, je nutné vzorec změnit.</t>
  </si>
  <si>
    <t>23.</t>
  </si>
  <si>
    <t>Všechny ceny, uváděné na jednotlivých záložkách, jsou uvažovány bez DPH.</t>
  </si>
  <si>
    <t>24.</t>
  </si>
  <si>
    <t xml:space="preserve">Poznámka: tento konfigurátor je inspirován praktickou zkušeností a jeho cílem je ukázat všechny aspekty implementace informačního systému. Slouží pro výukové účely a je jen na uživatelích, aby si pro případné praktické využití zvážili, které položky jsou pro ně relevantní. </t>
  </si>
  <si>
    <t>Funkční moduly (jen licence)</t>
  </si>
  <si>
    <t>Funkční blok</t>
  </si>
  <si>
    <t>Jádro systému</t>
  </si>
  <si>
    <t>Cena</t>
  </si>
  <si>
    <t>Nutné pořídit návazný funkční blok (mimo jádro)</t>
  </si>
  <si>
    <t>Vazba na systémový modul</t>
  </si>
  <si>
    <t>Pořídit</t>
  </si>
  <si>
    <t>Nutné pořídit?</t>
  </si>
  <si>
    <t>Ekonomika</t>
  </si>
  <si>
    <t>Pokladna</t>
  </si>
  <si>
    <t>þ</t>
  </si>
  <si>
    <t>Majetek</t>
  </si>
  <si>
    <t>Vozový park</t>
  </si>
  <si>
    <t>ý</t>
  </si>
  <si>
    <t>POZOR! Byl vybrán modul  "Kniha jízd"</t>
  </si>
  <si>
    <t>Fakturace</t>
  </si>
  <si>
    <t>Kniha jízd</t>
  </si>
  <si>
    <t>vozový park</t>
  </si>
  <si>
    <t>Obchod</t>
  </si>
  <si>
    <t>Zákazníci</t>
  </si>
  <si>
    <t>Dodavatelé</t>
  </si>
  <si>
    <t>CRM</t>
  </si>
  <si>
    <t>Sklady</t>
  </si>
  <si>
    <t>E-shop</t>
  </si>
  <si>
    <t>uživatelský portál</t>
  </si>
  <si>
    <t>Personalistika</t>
  </si>
  <si>
    <t>Lidské zdroje</t>
  </si>
  <si>
    <t>Pro napojení na externí systémy, je třeba pořídit systémový modul "Identity systém"</t>
  </si>
  <si>
    <t>Organizační struktura</t>
  </si>
  <si>
    <t>Docházka</t>
  </si>
  <si>
    <t>Výroba</t>
  </si>
  <si>
    <t>Zdroje</t>
  </si>
  <si>
    <t>Řízení výroby</t>
  </si>
  <si>
    <t>plánování výroby</t>
  </si>
  <si>
    <t>Plánování výroby</t>
  </si>
  <si>
    <t>POZOR! Byl vybrán modul  "Řízení výroby"</t>
  </si>
  <si>
    <t>Projekty</t>
  </si>
  <si>
    <t>Řízení projektů</t>
  </si>
  <si>
    <t>Workflow, úlohy</t>
  </si>
  <si>
    <t>Správa dokumentů</t>
  </si>
  <si>
    <t>Komunikace</t>
  </si>
  <si>
    <t>Pro komunikovaci i mimo systém musíme pořídit systémový modul "Zasílání zpráv"</t>
  </si>
  <si>
    <t>Služby</t>
  </si>
  <si>
    <t>Helpdesk</t>
  </si>
  <si>
    <t>Dispečink</t>
  </si>
  <si>
    <t>Servis</t>
  </si>
  <si>
    <t>Reporting</t>
  </si>
  <si>
    <t>Business Intelligence</t>
  </si>
  <si>
    <t>Uživatelský portál</t>
  </si>
  <si>
    <t>Součástí funkčního modulu "Uživatelský portál" je Webový klient</t>
  </si>
  <si>
    <t>POZOR! Byl vybrán modul  "E-shop"</t>
  </si>
  <si>
    <t>Tvorba reportů</t>
  </si>
  <si>
    <t>Vlastní vývoj</t>
  </si>
  <si>
    <t>Uživatelský vývoj</t>
  </si>
  <si>
    <t>Webové služby</t>
  </si>
  <si>
    <t>Součástí funkčního modulu "Webové služby" je systémový modul API</t>
  </si>
  <si>
    <t>Export/Import</t>
  </si>
  <si>
    <t>Součástí funkčního bloku je systémový modul "Export/Import"</t>
  </si>
  <si>
    <t>Celkem za všechny funkční moduly:</t>
  </si>
  <si>
    <t>Celkem za pořizované moduly:</t>
  </si>
  <si>
    <t>Systémové moduly (licence + instalace + základní konfigurace)</t>
  </si>
  <si>
    <t>Systémový modul</t>
  </si>
  <si>
    <t>Vazba na funkční modul</t>
  </si>
  <si>
    <t>Identity management</t>
  </si>
  <si>
    <t>Zasílání zpráv</t>
  </si>
  <si>
    <t>Import/export</t>
  </si>
  <si>
    <t>API</t>
  </si>
  <si>
    <t>Lze pořídit jen s funkčním modulem "Webové služby"</t>
  </si>
  <si>
    <t>Byl vybrán modul  "Webové služby"</t>
  </si>
  <si>
    <t>Celkem za všechny systémové moduly:</t>
  </si>
  <si>
    <t>Celkem za pořizované systémové moduly:</t>
  </si>
  <si>
    <t>Klienti</t>
  </si>
  <si>
    <t>Klient</t>
  </si>
  <si>
    <t>Webový klient</t>
  </si>
  <si>
    <t>Součást funkčního modulu "Uživatelský portál"</t>
  </si>
  <si>
    <t>Byl vybrán modul  "Uživatelský portál"</t>
  </si>
  <si>
    <t>Aplikace Java</t>
  </si>
  <si>
    <t>Aplikace .NET</t>
  </si>
  <si>
    <t>Mobilní klient Android</t>
  </si>
  <si>
    <t>Mobilní klient iOS</t>
  </si>
  <si>
    <t>Celkem za všechny klienty:</t>
  </si>
  <si>
    <t>Celkem za pořizované klienty moduly:</t>
  </si>
  <si>
    <t>Licence za plnohodnotného uživatele  (má právo číst i měnit položky)</t>
  </si>
  <si>
    <t>Počet uživatelů</t>
  </si>
  <si>
    <t>Počítáme se s cca 15 autorizovanými uživateli na jedné pobočce: 
 - 2 běžící klienty na tabletech servisních techniků
 - 2 účty přijímacích techniků
 - 5 účtů obchodniků
 - 2 účty nákupčích
 - 5 účtů pro management a administrativní zaměstnance pobočky</t>
  </si>
  <si>
    <t>Zakoupením licencí pro 150+5 autorizovaných uživatelů systémů, se skutečně pokryje 9*15=135 požadovaných účtů pro zaměstnance poboček a zbytek pro vedení společnosti.
Plně se pokryje i požadavek na umožnění až 40 souběžných připojení z interní sítě.</t>
  </si>
  <si>
    <t>Uživatelé</t>
  </si>
  <si>
    <t>Základních 5 uživatelů</t>
  </si>
  <si>
    <t>1 uživatel</t>
  </si>
  <si>
    <t>Balíček 3 uživatelů</t>
  </si>
  <si>
    <t>Balíček 5 uživatelů</t>
  </si>
  <si>
    <t>Balíček 10 uživatelů</t>
  </si>
  <si>
    <t>Celkem za pořizované uživatele:</t>
  </si>
  <si>
    <t>Celková cena za pořizované licence:</t>
  </si>
  <si>
    <t>Cena za roční maintenance (20% z ceny licencí):</t>
  </si>
  <si>
    <t>Typ práce</t>
  </si>
  <si>
    <t>Cena za člh (člověkohodinu)</t>
  </si>
  <si>
    <t>Poznámka</t>
  </si>
  <si>
    <t>Analýza/konzultace</t>
  </si>
  <si>
    <t>Cena za provedení analýzy požadavků uživatelů, jejich zdokumentování, navržení úprav systému a jejich předání, včetně zaškolení uživatelů.</t>
  </si>
  <si>
    <t>Konfigurace (vývoj)</t>
  </si>
  <si>
    <t>Cena za konfigurace a úpravy standardů systému + cena za vývoj nových funkčností. V našem případě uvažujeme, že pracovníci, provádějící analýzu jsou schopni provádět i konfiguraci a jednoduché úpravy. Náročnější vývoj provádí vývojáři.</t>
  </si>
  <si>
    <t>Migrace</t>
  </si>
  <si>
    <t>Cena za přípravu a provedení migrace dat do nového systému. V praxi lze zahrnout do analýzy a konfigurace.</t>
  </si>
  <si>
    <t>Práva</t>
  </si>
  <si>
    <t>Cena za identifikaci a nastavení uživatelských práv v novém systému. V praxi lze zahrnout do analýzy a konfigurace.</t>
  </si>
  <si>
    <t>Tvorba dokumentace</t>
  </si>
  <si>
    <t xml:space="preserve">Cena za tvorbu uživatelské dokumentace. </t>
  </si>
  <si>
    <t>Vedení projektu</t>
  </si>
  <si>
    <t>Pracovník, zajišťující koordinaci a řízení projektu. Jak interně, tak i směrem k zákazníkovi.</t>
  </si>
  <si>
    <t>Ostatní</t>
  </si>
  <si>
    <t>Ceník za ostatní práce. Například instalace, napojení na externí Identity systém, poštovní server atd.</t>
  </si>
  <si>
    <t>Koeficient korekce práce</t>
  </si>
  <si>
    <t xml:space="preserve">Koeficient, kterým se násobí odhady na zprovoznění jednotlivých modulů. Čím vyšší nejistota plyne, tím vyšší hodnotu je vhodné zvolit. </t>
  </si>
  <si>
    <t>Modul</t>
  </si>
  <si>
    <t>Zprovoznění (člh)</t>
  </si>
  <si>
    <t>min. (člh)</t>
  </si>
  <si>
    <t>max. (člh)</t>
  </si>
  <si>
    <t>Orientační čas konfigurace modulu v člh</t>
  </si>
  <si>
    <t>Pořizováno</t>
  </si>
  <si>
    <t>Odhad konfigurace (člh)</t>
  </si>
  <si>
    <t>Odhad analýzy (člh)</t>
  </si>
  <si>
    <t>Odhad migrace (člh)</t>
  </si>
  <si>
    <t>Odhad práv (člh)</t>
  </si>
  <si>
    <t>Celkový odhad (člh)</t>
  </si>
  <si>
    <t>min. = jednoduchý eshop, max. = komplexnější funkčnost</t>
  </si>
  <si>
    <t>poznamka "díky tomu, že budeme mít webshop... zvýšíme první rok obrat o 10 %" Koci si zminil, ze e shop bude, ale neni to porizeny though</t>
  </si>
  <si>
    <t>počítáno za jedno workflow, respektive úkol</t>
  </si>
  <si>
    <t>Počítáno dle složitosti implementovaných analýz</t>
  </si>
  <si>
    <t>min. = jednoduchá agenda, max. = složitější sada stránek</t>
  </si>
  <si>
    <t>Počítáno za jeden report</t>
  </si>
  <si>
    <t>?</t>
  </si>
  <si>
    <t>Individuálně dle rozsahu a složitosti nových funkčností</t>
  </si>
  <si>
    <t>Počítáno za jedno připojení</t>
  </si>
  <si>
    <t xml:space="preserve">Počítáno za jeden export/import </t>
  </si>
  <si>
    <t>Celkem:</t>
  </si>
  <si>
    <t>Po korekci:</t>
  </si>
  <si>
    <t>Poznámka: uvedené hodiny jsou spíše pro orientaci. V praxi je vždy nutné čas konzultovat s lidmi, kteří dobře systém znají a na základě požadavku uživatelů jsou schopni dát přesnější odhad. Na analýzu konrétních požadavků je vhodné počítat s cca. 0,5 - 1,5 času na konfiguraci. Záleží na složitosti požadavku. U jednodušších požadavků je vhodné počítat s dolní hranicí, u nejasných s horní. Týká se to jak analýzy, tak i konfigurace. K celkovému času je vhodné přidat i rezervu cca. 50% na propojení a vzájemnou koordinaci mezi moduly + konfigurace základu.Stejně tak není součástí hodin migrace dat a zaškolení. U migrace dat je vždy nutné zvážit, zda si ji zákazník udělá sám, zadá data ručně nebo ve spolupráci s námi provede analýzu současných dat, vyčištění, konsolidaci, nahrání a kontrolu. Dle požadavků a způsobu provedení je vhodné na migraci nutné uvažovat od 0,5 až po 1,5 času, věnovaného konfiguraci agendy. Obdobně je vhodné uvažovat o nastavení přístupových práv. Systém je založený na rolích a umožňuje přiřazovat jak vetikální, tak i horizontální práva. Tj. práva k agendám a položkám agend.</t>
  </si>
  <si>
    <t>Konfigurace 
Etapa 1 (člh)</t>
  </si>
  <si>
    <t>Konfigurace 
Etapa 2 (člh)</t>
  </si>
  <si>
    <t>Analýza 
Etapa 1 (člh)</t>
  </si>
  <si>
    <t>Analýza 
Etapa 2 (člh)</t>
  </si>
  <si>
    <t>Migrace 
Etapa 1 (člh)</t>
  </si>
  <si>
    <t>Migrace 
Etapa 2 (člh)</t>
  </si>
  <si>
    <t>Práva 
Etapa 1 (člh)</t>
  </si>
  <si>
    <t>Práva 
Etapa 2 (člh)</t>
  </si>
  <si>
    <t>Cena za Etapu 1</t>
  </si>
  <si>
    <t>Cena za Etapu2</t>
  </si>
  <si>
    <t>Celková cena</t>
  </si>
  <si>
    <t>Součet před korekcí:</t>
  </si>
  <si>
    <t>Součet po korekci</t>
  </si>
  <si>
    <t>Součet man days</t>
  </si>
  <si>
    <t>Konfigurace</t>
  </si>
  <si>
    <t>Analýza (analýza + návrh)</t>
  </si>
  <si>
    <t>Analýza a konfigurace se v čase prolínají (viz Ganttův diagram - návrh končí o cca. týden později - uzavření soupisu + zpětná vazba)</t>
  </si>
  <si>
    <t>Další práce, spojené s realizací systému</t>
  </si>
  <si>
    <t>Fáze</t>
  </si>
  <si>
    <t>Činnost</t>
  </si>
  <si>
    <t>Zahrnuto v odhadech práce modulů</t>
  </si>
  <si>
    <t>Odhad Etapa 1 (člh)</t>
  </si>
  <si>
    <t>Cena Etapa 1</t>
  </si>
  <si>
    <t>Odhad Etapa 2 (člh)</t>
  </si>
  <si>
    <t>Cena Etapa 2</t>
  </si>
  <si>
    <t>Odhad celkem (člh)</t>
  </si>
  <si>
    <t>Cena celkem</t>
  </si>
  <si>
    <t>Součinnost Etapa 1 (člh)</t>
  </si>
  <si>
    <t>Součinnost Etapa 2 (člh)</t>
  </si>
  <si>
    <t>Součinnost celkem (člh)</t>
  </si>
  <si>
    <t>Analýza</t>
  </si>
  <si>
    <t>Prezentace systému a jeho možností</t>
  </si>
  <si>
    <t>Konzultace s uživateli</t>
  </si>
  <si>
    <t>Soupis požadavků na systém</t>
  </si>
  <si>
    <t>Diskuse a zpětná vazba</t>
  </si>
  <si>
    <t>Požadavky na migraci</t>
  </si>
  <si>
    <t>Požadavky na přístupová práva</t>
  </si>
  <si>
    <t>Návrh</t>
  </si>
  <si>
    <t>Výběr modulů</t>
  </si>
  <si>
    <t>Příprava konfigurace</t>
  </si>
  <si>
    <t>Definice vývoje nových funkčností</t>
  </si>
  <si>
    <t>Vytvoření dokumentace</t>
  </si>
  <si>
    <t>Diskuse a zpětná vazba k návrhu</t>
  </si>
  <si>
    <t>Návrh migrace</t>
  </si>
  <si>
    <t>Návrh přístupových práv</t>
  </si>
  <si>
    <t>Implementace</t>
  </si>
  <si>
    <t>Instalace systému</t>
  </si>
  <si>
    <t>Konfigurace existujících modulů</t>
  </si>
  <si>
    <t>Vývoj nové funkčnosti</t>
  </si>
  <si>
    <t>Integrace nové funkčnosti do systému</t>
  </si>
  <si>
    <t>Průběžné testování funkčnosti</t>
  </si>
  <si>
    <t>Funkční testy</t>
  </si>
  <si>
    <t>Příprava uživatelské dokumentace</t>
  </si>
  <si>
    <t>Příprava migrace</t>
  </si>
  <si>
    <t>Uživatelské testování</t>
  </si>
  <si>
    <t>Příprava systému pro testování</t>
  </si>
  <si>
    <t>Zprovoznění klientů pro uživatelské testování</t>
  </si>
  <si>
    <t>Integrace do prostředí zákazníka</t>
  </si>
  <si>
    <t>Integrace</t>
  </si>
  <si>
    <t>Zkušební migrace dat</t>
  </si>
  <si>
    <t>Nastavení a ověření přístupových práv</t>
  </si>
  <si>
    <t>Zaškolení uživatelů před 
uživatelským testováním</t>
  </si>
  <si>
    <t>Testování uživateli</t>
  </si>
  <si>
    <t>Finalizace uživatelské dokumentace</t>
  </si>
  <si>
    <t>Průběžná aktualizace systému dle nových požadavků a opravy chyb</t>
  </si>
  <si>
    <t>Nasazení</t>
  </si>
  <si>
    <t>Příprava systému pro reálný provoz</t>
  </si>
  <si>
    <t>Zprovoznění klientů pro reálný provoz</t>
  </si>
  <si>
    <t>Finální migrace dat</t>
  </si>
  <si>
    <t>FInální nastavení přístupových práv</t>
  </si>
  <si>
    <t>Školení před nasazením do reálného provozu</t>
  </si>
  <si>
    <t>Pilotní provoz</t>
  </si>
  <si>
    <t>Zvýšená podpora při nasazení</t>
  </si>
  <si>
    <t>Projektové řízení</t>
  </si>
  <si>
    <t>Vedoucí projektu</t>
  </si>
  <si>
    <t>Komunikace a koordinace týmu</t>
  </si>
  <si>
    <t>Řídicí komise</t>
  </si>
  <si>
    <t>Pozor na počítání součinnosti! Není to délka trvání, ale hodiny, které s danou aktivitou stráví na straně zadavatele - jsou hodiny, které s projektem stráví všichni uživatelé!!</t>
  </si>
  <si>
    <t>domyslet koordinaci týmu</t>
  </si>
  <si>
    <t>V 1. etapě počítám se 4. lidmi (2 na konfiguraci a analýzu - analytici/konzultanti), k ruce mají 1 člověka podporu pro migrace, práva, reporting a systémové moduly, dokumentaci + 1 vedoucí projektu</t>
  </si>
  <si>
    <t>V 2. etapě přibývá vývojář pro novou funkčnosti + business intelligence, tj. bude 5 lidí</t>
  </si>
  <si>
    <t>Ganttův diagram není optimalizovaný s ohledem na svátky a dny (etapy nekonční v pátek, někdy je tam svátek atd., toto by bylo součástí detailního plánu projektu, nám jde jen o časový náhled)</t>
  </si>
  <si>
    <t>Mezi 1. a 2. etapou bude měsíc provozu pro ověření a případné připomínky, podpora do konce projektu je součástí implementace (není samostatná položka, ale protože na 2. etapě dělají stejní lidé, poskytují v rámci času i podporu)</t>
  </si>
  <si>
    <t>Podpora pro skončení 2 etapy není součástí. Je jen nazanačena</t>
  </si>
  <si>
    <t>Provoz 1. etapy - vložen kontrolní bod pro případ, že bychom chtěli 2. etapu posunout nebo neimplementovat, nebo kdyby se ukázala potřeba změny</t>
  </si>
  <si>
    <t>většinu prací dělají analytici</t>
  </si>
  <si>
    <t>tam, kde jsou možné 2 role - například podpora nasazení, tak počítáme tu dražší, což je většinou analytik</t>
  </si>
  <si>
    <t>komunikace a koordinace týmu je počítána dle počtu uživatelů</t>
  </si>
  <si>
    <t>Doplňkové položky instalace</t>
  </si>
  <si>
    <t>Položka</t>
  </si>
  <si>
    <t>Cena za jednotku bez DPH</t>
  </si>
  <si>
    <t>Počet</t>
  </si>
  <si>
    <t>Celkem</t>
  </si>
  <si>
    <t>Instalace serveru</t>
  </si>
  <si>
    <t>POZOR! Položka není nutná, protože byl vybrán instalační balíček</t>
  </si>
  <si>
    <t>Instalace databáze</t>
  </si>
  <si>
    <t>Instalační balíček databáze + aplikační server</t>
  </si>
  <si>
    <t>Rozšíření o další jazyk uživatelského rozhraní</t>
  </si>
  <si>
    <t>Celkem ostatní náklady:</t>
  </si>
  <si>
    <t>Výsledná cena za implementaci</t>
  </si>
  <si>
    <t>Cena (bez DPH)</t>
  </si>
  <si>
    <t>Licence</t>
  </si>
  <si>
    <t>Implementační práce Etapa 1</t>
  </si>
  <si>
    <t>Implementační práce Etapa 2</t>
  </si>
  <si>
    <t>Ostatní náklady</t>
  </si>
  <si>
    <t>Implementace celkem</t>
  </si>
  <si>
    <t>Maintenance poplatek (20% z licencí)</t>
  </si>
  <si>
    <t>Finanční analýza za období implementace a následujících pěti let provozu</t>
  </si>
  <si>
    <t>Použitá diskontní sazba:</t>
  </si>
  <si>
    <t>Rok</t>
  </si>
  <si>
    <t>Obrat autoprodeje (Kč)</t>
  </si>
  <si>
    <t>Etapa 1</t>
  </si>
  <si>
    <t>Získovost autoprodeje</t>
  </si>
  <si>
    <t>Etapa 2</t>
  </si>
  <si>
    <t>Zvyšení obratu autoprodeje 1. rok po spuštění</t>
  </si>
  <si>
    <t>Maintenance</t>
  </si>
  <si>
    <t>Úspory v autoprodeji 1. rok po spuštění (Kč)</t>
  </si>
  <si>
    <t>Podpora</t>
  </si>
  <si>
    <t>Úspory</t>
  </si>
  <si>
    <t>Zvyšení obratu autoprodeje 2. rok po spuštění</t>
  </si>
  <si>
    <t>CF</t>
  </si>
  <si>
    <t>Úspory v autoprodeji 2. rok po spuštění (Kč)</t>
  </si>
  <si>
    <t>DCF</t>
  </si>
  <si>
    <t>Náklady celkem (za 5 let)</t>
  </si>
  <si>
    <t>(bez započítání diskontu)</t>
  </si>
  <si>
    <t>Úspory celkem (za 5 let)</t>
  </si>
  <si>
    <t>Obrat autoservisu (Kč)</t>
  </si>
  <si>
    <t>NPV</t>
  </si>
  <si>
    <t>Získovost autoservisu</t>
  </si>
  <si>
    <r>
      <t>ROI</t>
    </r>
    <r>
      <rPr>
        <b/>
        <i/>
        <vertAlign val="superscript"/>
        <sz val="11"/>
        <color theme="1"/>
        <rFont val="Calibri"/>
        <family val="2"/>
        <charset val="238"/>
        <scheme val="minor"/>
      </rPr>
      <t>*</t>
    </r>
  </si>
  <si>
    <t>(za dobu pěti let provozu systému)</t>
  </si>
  <si>
    <t>Zvyšení obratu autoservisu 1. rok po spuštění</t>
  </si>
  <si>
    <r>
      <rPr>
        <b/>
        <i/>
        <vertAlign val="superscript"/>
        <sz val="11"/>
        <color theme="1"/>
        <rFont val="Calibri"/>
        <family val="2"/>
        <charset val="238"/>
        <scheme val="minor"/>
      </rPr>
      <t>*</t>
    </r>
    <r>
      <rPr>
        <b/>
        <i/>
        <sz val="11"/>
        <color theme="1"/>
        <rFont val="Calibri"/>
        <family val="2"/>
        <charset val="238"/>
        <scheme val="minor"/>
      </rPr>
      <t>ROI = ((úspory celkem - náklady celkem)/náklady celkem)*100</t>
    </r>
  </si>
  <si>
    <t>Úspory v autoservisu 1. rok po spuštění (Kč)</t>
  </si>
  <si>
    <t xml:space="preserve">Součinnost </t>
  </si>
  <si>
    <t>člh</t>
  </si>
  <si>
    <t>Zvyšení obratu autoservisu 2. - 5. rok po spuštění</t>
  </si>
  <si>
    <t>Úspory v autoservisu 2. - 5. rok po spuštění (Kč)</t>
  </si>
  <si>
    <t>Roční úspory na náboru nových zaměstnanců  2. - 5. rok po spuštění (Kč)</t>
  </si>
  <si>
    <t>Celkové úspory  1. rok po spuštění (Kč)</t>
  </si>
  <si>
    <t>Celkové úspory   2. - 5. rok po spuštění (Kč)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</si>
</sst>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Kč&quot;;[Red]\-#,##0.00\ &quot;Kč&quot;"/>
    <numFmt numFmtId="165" formatCode="#,##0\ &quot;Kč&quot;"/>
  </numFmts>
  <fonts count="21">
    <font>
      <sz val="11"/>
      <color theme="1"/>
      <name val="Calibri"/>
      <family val="2"/>
      <charset val="238"/>
      <scheme val="minor"/>
    </font>
    <font>
      <b/>
      <sz val="16"/>
      <color rgb="FFC00000"/>
      <name val="Wingdings"/>
      <charset val="2"/>
    </font>
    <font>
      <b/>
      <sz val="16"/>
      <color rgb="FF00B050"/>
      <name val="Wingdings"/>
      <charset val="2"/>
    </font>
    <font>
      <b/>
      <i/>
      <sz val="11"/>
      <color theme="1"/>
      <name val="Calibri"/>
      <family val="2"/>
      <charset val="238"/>
      <scheme val="minor"/>
    </font>
    <font>
      <i/>
      <sz val="11"/>
      <color theme="1"/>
      <name val="Calibri"/>
      <family val="2"/>
      <charset val="238"/>
      <scheme val="minor"/>
    </font>
    <font>
      <b/>
      <sz val="11"/>
      <color theme="1"/>
      <name val="Calibri"/>
      <family val="2"/>
      <charset val="238"/>
      <scheme val="minor"/>
    </font>
    <font>
      <sz val="11"/>
      <name val="Calibri"/>
      <family val="2"/>
      <charset val="238"/>
      <scheme val="minor"/>
    </font>
    <font>
      <sz val="11"/>
      <color theme="1"/>
      <name val="Calibri"/>
      <family val="2"/>
      <charset val="238"/>
      <scheme val="minor"/>
    </font>
    <font>
      <sz val="10"/>
      <color theme="1"/>
      <name val="Arial"/>
      <family val="2"/>
    </font>
    <font>
      <sz val="11"/>
      <color rgb="FFFF0000"/>
      <name val="Calibri"/>
      <family val="2"/>
      <charset val="238"/>
      <scheme val="minor"/>
    </font>
    <font>
      <b/>
      <i/>
      <sz val="10"/>
      <color theme="1"/>
      <name val="Arial"/>
      <family val="2"/>
      <charset val="238"/>
    </font>
    <font>
      <i/>
      <sz val="11"/>
      <color rgb="FFFF0000"/>
      <name val="Calibri"/>
      <family val="2"/>
      <charset val="238"/>
      <scheme val="minor"/>
    </font>
    <font>
      <b/>
      <i/>
      <sz val="10"/>
      <color rgb="FFFF0000"/>
      <name val="Arial"/>
      <family val="2"/>
      <charset val="238"/>
    </font>
    <font>
      <b/>
      <sz val="11"/>
      <color theme="0"/>
      <name val="Calibri"/>
      <family val="2"/>
      <charset val="238"/>
      <scheme val="minor"/>
    </font>
    <font>
      <b/>
      <sz val="12"/>
      <color theme="1"/>
      <name val="Calibri"/>
      <family val="2"/>
      <charset val="238"/>
      <scheme val="minor"/>
    </font>
    <font>
      <b/>
      <sz val="14"/>
      <color theme="1"/>
      <name val="Calibri"/>
      <family val="2"/>
      <charset val="238"/>
      <scheme val="minor"/>
    </font>
    <font>
      <b/>
      <sz val="11"/>
      <color rgb="FF00B050"/>
      <name val="Calibri"/>
      <family val="2"/>
      <charset val="238"/>
      <scheme val="minor"/>
    </font>
    <font>
      <b/>
      <i/>
      <sz val="12"/>
      <color theme="1"/>
      <name val="Calibri"/>
      <family val="2"/>
      <charset val="238"/>
      <scheme val="minor"/>
    </font>
    <font>
      <b/>
      <sz val="10"/>
      <color rgb="FFC00000"/>
      <name val="Arial"/>
      <family val="2"/>
      <charset val="238"/>
    </font>
    <font>
      <sz val="11"/>
      <color rgb="FF00B050"/>
      <name val="Calibri"/>
      <family val="2"/>
      <charset val="238"/>
      <scheme val="minor"/>
    </font>
    <font>
      <b/>
      <i/>
      <vertAlign val="superscript"/>
      <sz val="11"/>
      <color theme="1"/>
      <name val="Calibri"/>
      <family val="2"/>
      <charset val="238"/>
      <scheme val="minor"/>
    </font>
  </fonts>
  <fills count="6">
    <fill>
      <patternFill patternType="none"/>
    </fill>
    <fill>
      <patternFill patternType="gray125"/>
    </fill>
    <fill>
      <patternFill patternType="solid">
        <fgColor theme="0" tint="-0.249977111117893"/>
        <bgColor indexed="64"/>
      </patternFill>
    </fill>
    <fill>
      <patternFill patternType="solid">
        <fgColor theme="0" tint="-0.24994659260841701"/>
        <bgColor indexed="64"/>
      </patternFill>
    </fill>
    <fill>
      <patternFill patternType="solid">
        <fgColor theme="7" tint="0.79998168889431442"/>
        <bgColor indexed="64"/>
      </patternFill>
    </fill>
    <fill>
      <patternFill patternType="solid">
        <fgColor theme="0"/>
        <bgColor indexed="64"/>
      </patternFill>
    </fill>
  </fills>
  <borders count="6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right/>
      <top style="thick">
        <color auto="1"/>
      </top>
      <bottom/>
      <diagonal/>
    </border>
    <border>
      <left style="thin">
        <color auto="1"/>
      </left>
      <right/>
      <top style="thick">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thick">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ck">
        <color auto="1"/>
      </top>
      <bottom style="thin">
        <color auto="1"/>
      </bottom>
      <diagonal/>
    </border>
    <border>
      <left style="medium">
        <color auto="1"/>
      </left>
      <right style="thin">
        <color auto="1"/>
      </right>
      <top style="thin">
        <color auto="1"/>
      </top>
      <bottom style="thick">
        <color auto="1"/>
      </bottom>
      <diagonal/>
    </border>
    <border>
      <left/>
      <right style="thin">
        <color auto="1"/>
      </right>
      <top style="thick">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thick">
        <color auto="1"/>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n">
        <color auto="1"/>
      </left>
      <right style="thick">
        <color auto="1"/>
      </right>
      <top style="thick">
        <color auto="1"/>
      </top>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style="thin">
        <color auto="1"/>
      </left>
      <right/>
      <top style="thick">
        <color auto="1"/>
      </top>
      <bottom/>
      <diagonal/>
    </border>
    <border>
      <left style="thin">
        <color auto="1"/>
      </left>
      <right/>
      <top/>
      <bottom style="thin">
        <color auto="1"/>
      </bottom>
      <diagonal/>
    </border>
    <border>
      <left style="thin">
        <color auto="1"/>
      </left>
      <right/>
      <top style="thin">
        <color auto="1"/>
      </top>
      <bottom/>
      <diagonal/>
    </border>
    <border>
      <left/>
      <right style="thin">
        <color auto="1"/>
      </right>
      <top/>
      <bottom style="thin">
        <color auto="1"/>
      </bottom>
      <diagonal/>
    </border>
    <border>
      <left style="thick">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style="medium">
        <color indexed="64"/>
      </top>
      <bottom style="thin">
        <color auto="1"/>
      </bottom>
      <diagonal/>
    </border>
    <border>
      <left style="thin">
        <color auto="1"/>
      </left>
      <right style="thin">
        <color auto="1"/>
      </right>
      <top style="thin">
        <color auto="1"/>
      </top>
      <bottom style="medium">
        <color indexed="64"/>
      </bottom>
      <diagonal/>
    </border>
    <border>
      <left/>
      <right/>
      <top style="medium">
        <color indexed="64"/>
      </top>
      <bottom/>
      <diagonal/>
    </border>
    <border>
      <left/>
      <right style="medium">
        <color indexed="64"/>
      </right>
      <top style="thin">
        <color auto="1"/>
      </top>
      <bottom style="thin">
        <color auto="1"/>
      </bottom>
      <diagonal/>
    </border>
    <border>
      <left/>
      <right style="medium">
        <color indexed="64"/>
      </right>
      <top style="thin">
        <color auto="1"/>
      </top>
      <bottom style="medium">
        <color indexed="64"/>
      </bottom>
      <diagonal/>
    </border>
    <border>
      <left/>
      <right style="medium">
        <color indexed="64"/>
      </right>
      <top style="medium">
        <color indexed="64"/>
      </top>
      <bottom style="thin">
        <color auto="1"/>
      </bottom>
      <diagonal/>
    </border>
    <border>
      <left style="thick">
        <color auto="1"/>
      </left>
      <right/>
      <top/>
      <bottom/>
      <diagonal/>
    </border>
    <border>
      <left style="thick">
        <color auto="1"/>
      </left>
      <right style="thin">
        <color auto="1"/>
      </right>
      <top style="thick">
        <color auto="1"/>
      </top>
      <bottom style="medium">
        <color auto="1"/>
      </bottom>
      <diagonal/>
    </border>
    <border>
      <left style="thin">
        <color auto="1"/>
      </left>
      <right style="thick">
        <color auto="1"/>
      </right>
      <top style="thick">
        <color auto="1"/>
      </top>
      <bottom style="medium">
        <color auto="1"/>
      </bottom>
      <diagonal/>
    </border>
    <border>
      <left style="thick">
        <color auto="1"/>
      </left>
      <right style="thin">
        <color auto="1"/>
      </right>
      <top style="thin">
        <color auto="1"/>
      </top>
      <bottom style="medium">
        <color auto="1"/>
      </bottom>
      <diagonal/>
    </border>
    <border>
      <left style="thin">
        <color auto="1"/>
      </left>
      <right style="thick">
        <color auto="1"/>
      </right>
      <top style="thin">
        <color auto="1"/>
      </top>
      <bottom style="medium">
        <color auto="1"/>
      </bottom>
      <diagonal/>
    </border>
    <border>
      <left style="thick">
        <color auto="1"/>
      </left>
      <right style="thin">
        <color auto="1"/>
      </right>
      <top/>
      <bottom style="thick">
        <color auto="1"/>
      </bottom>
      <diagonal/>
    </border>
    <border>
      <left style="thin">
        <color auto="1"/>
      </left>
      <right style="thick">
        <color auto="1"/>
      </right>
      <top/>
      <bottom style="thick">
        <color auto="1"/>
      </bottom>
      <diagonal/>
    </border>
    <border>
      <left style="thick">
        <color auto="1"/>
      </left>
      <right style="thin">
        <color auto="1"/>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8" fillId="0" borderId="0"/>
  </cellStyleXfs>
  <cellXfs count="341">
    <xf numFmtId="0" fontId="0" fillId="0" borderId="0" xfId="0"/>
    <xf numFmtId="165" fontId="0" fillId="0" borderId="0" xfId="0" applyNumberFormat="1" applyAlignment="1">
      <alignment horizontal="center" vertical="center"/>
    </xf>
    <xf numFmtId="0" fontId="0" fillId="0" borderId="1" xfId="0" applyBorder="1"/>
    <xf numFmtId="0" fontId="2" fillId="0" borderId="5" xfId="0" applyFont="1" applyBorder="1" applyAlignment="1">
      <alignment horizontal="center" vertical="center"/>
    </xf>
    <xf numFmtId="0" fontId="1" fillId="0" borderId="5" xfId="0" applyFont="1" applyBorder="1" applyAlignment="1">
      <alignment horizontal="center" vertical="center"/>
    </xf>
    <xf numFmtId="0" fontId="2" fillId="0" borderId="8" xfId="0" applyFont="1" applyBorder="1" applyAlignment="1">
      <alignment horizontal="center" vertical="center"/>
    </xf>
    <xf numFmtId="0" fontId="0" fillId="2" borderId="2" xfId="0" applyFill="1" applyBorder="1" applyAlignment="1">
      <alignment horizontal="center" vertical="center"/>
    </xf>
    <xf numFmtId="165" fontId="0" fillId="0" borderId="6" xfId="0" applyNumberFormat="1" applyBorder="1" applyAlignment="1">
      <alignment horizontal="right" vertical="center"/>
    </xf>
    <xf numFmtId="165" fontId="0" fillId="0" borderId="9" xfId="0" applyNumberFormat="1" applyBorder="1" applyAlignment="1">
      <alignment horizontal="right" vertical="center"/>
    </xf>
    <xf numFmtId="0" fontId="0" fillId="0" borderId="5" xfId="0" applyBorder="1" applyAlignment="1">
      <alignment horizontal="left" vertical="center"/>
    </xf>
    <xf numFmtId="0" fontId="0" fillId="0" borderId="8" xfId="0" applyBorder="1" applyAlignment="1">
      <alignment horizontal="left" vertical="center"/>
    </xf>
    <xf numFmtId="165" fontId="3" fillId="0" borderId="0" xfId="0" applyNumberFormat="1" applyFont="1"/>
    <xf numFmtId="0" fontId="0" fillId="0" borderId="10" xfId="0" applyBorder="1"/>
    <xf numFmtId="49" fontId="0" fillId="0" borderId="0" xfId="0" applyNumberFormat="1"/>
    <xf numFmtId="49" fontId="0" fillId="0" borderId="6" xfId="0" applyNumberFormat="1" applyBorder="1" applyAlignment="1">
      <alignment horizontal="right" vertical="center"/>
    </xf>
    <xf numFmtId="49" fontId="5" fillId="0" borderId="0" xfId="0" applyNumberFormat="1" applyFont="1"/>
    <xf numFmtId="0" fontId="6" fillId="0" borderId="12" xfId="0" applyFont="1" applyBorder="1" applyAlignment="1">
      <alignment horizontal="center" vertical="center"/>
    </xf>
    <xf numFmtId="0" fontId="6" fillId="0" borderId="8" xfId="0" applyFont="1" applyBorder="1" applyAlignment="1">
      <alignment horizontal="center" vertical="center"/>
    </xf>
    <xf numFmtId="0" fontId="6" fillId="0" borderId="13" xfId="0" applyFont="1" applyBorder="1" applyAlignment="1">
      <alignment horizontal="center" vertical="center"/>
    </xf>
    <xf numFmtId="165" fontId="0" fillId="0" borderId="12" xfId="0" applyNumberFormat="1" applyBorder="1" applyAlignment="1">
      <alignment horizontal="right" vertical="center"/>
    </xf>
    <xf numFmtId="165" fontId="0" fillId="0" borderId="13" xfId="0" applyNumberFormat="1" applyBorder="1" applyAlignment="1">
      <alignment horizontal="right" vertical="center"/>
    </xf>
    <xf numFmtId="1" fontId="0" fillId="0" borderId="5" xfId="0" applyNumberFormat="1" applyBorder="1" applyAlignment="1">
      <alignment horizontal="center" vertical="center"/>
    </xf>
    <xf numFmtId="0" fontId="0" fillId="2" borderId="2" xfId="0" applyFill="1" applyBorder="1" applyAlignment="1">
      <alignment horizontal="center" vertical="center" wrapText="1"/>
    </xf>
    <xf numFmtId="0" fontId="0" fillId="2" borderId="11" xfId="0" applyFill="1" applyBorder="1" applyAlignment="1">
      <alignment horizontal="center" vertical="center" wrapText="1"/>
    </xf>
    <xf numFmtId="0" fontId="0" fillId="0" borderId="14" xfId="0" applyBorder="1" applyAlignment="1">
      <alignment horizontal="center" vertical="center" wrapText="1"/>
    </xf>
    <xf numFmtId="0" fontId="0" fillId="0" borderId="5" xfId="0" applyBorder="1" applyAlignment="1">
      <alignment horizontal="center" vertical="center" wrapText="1"/>
    </xf>
    <xf numFmtId="0" fontId="0" fillId="2" borderId="15" xfId="0" applyFill="1" applyBorder="1" applyAlignment="1">
      <alignment horizontal="center" vertical="center" wrapText="1"/>
    </xf>
    <xf numFmtId="1" fontId="0" fillId="0" borderId="8" xfId="0" applyNumberFormat="1" applyBorder="1" applyAlignment="1">
      <alignment horizontal="center" vertical="center"/>
    </xf>
    <xf numFmtId="0" fontId="0" fillId="2" borderId="3" xfId="0" applyFill="1" applyBorder="1" applyAlignment="1">
      <alignment horizontal="center" vertical="center" wrapText="1"/>
    </xf>
    <xf numFmtId="0" fontId="0" fillId="0" borderId="16" xfId="0" applyBorder="1" applyAlignment="1">
      <alignment horizontal="center" vertical="center" wrapText="1"/>
    </xf>
    <xf numFmtId="0" fontId="0" fillId="0" borderId="8" xfId="0" applyBorder="1" applyAlignment="1">
      <alignment horizontal="center" vertical="center" wrapText="1"/>
    </xf>
    <xf numFmtId="0" fontId="0" fillId="2" borderId="1" xfId="0" applyFill="1" applyBorder="1" applyAlignment="1">
      <alignment horizontal="center" vertical="center" wrapText="1"/>
    </xf>
    <xf numFmtId="0" fontId="0" fillId="2" borderId="17" xfId="0" applyFill="1" applyBorder="1" applyAlignment="1">
      <alignment horizontal="center" vertical="center" wrapText="1"/>
    </xf>
    <xf numFmtId="1" fontId="0" fillId="0" borderId="7" xfId="0" applyNumberFormat="1" applyBorder="1" applyAlignment="1">
      <alignment horizontal="center" vertical="center"/>
    </xf>
    <xf numFmtId="0" fontId="0" fillId="0" borderId="18" xfId="0" applyBorder="1" applyAlignment="1">
      <alignment horizontal="center" vertical="center"/>
    </xf>
    <xf numFmtId="0" fontId="0" fillId="0" borderId="5" xfId="0" applyBorder="1" applyAlignment="1">
      <alignment horizontal="center" vertical="center"/>
    </xf>
    <xf numFmtId="0" fontId="0" fillId="0" borderId="19" xfId="0" applyBorder="1" applyAlignment="1">
      <alignment horizontal="center" vertical="center"/>
    </xf>
    <xf numFmtId="0" fontId="0" fillId="0" borderId="8"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3" fillId="0" borderId="0" xfId="0" applyFont="1"/>
    <xf numFmtId="0" fontId="0" fillId="2" borderId="0" xfId="0" applyFill="1" applyAlignment="1">
      <alignment horizontal="center" vertical="center" wrapText="1"/>
    </xf>
    <xf numFmtId="0" fontId="0" fillId="0" borderId="0" xfId="0" applyAlignment="1">
      <alignment horizontal="center" vertical="center" wrapText="1"/>
    </xf>
    <xf numFmtId="165" fontId="0" fillId="0" borderId="0" xfId="0" applyNumberFormat="1" applyAlignment="1">
      <alignment horizontal="right" vertical="center"/>
    </xf>
    <xf numFmtId="9" fontId="0" fillId="0" borderId="0" xfId="0" applyNumberFormat="1" applyAlignment="1">
      <alignment horizontal="center" vertical="center"/>
    </xf>
    <xf numFmtId="165" fontId="3" fillId="0" borderId="0" xfId="0" applyNumberFormat="1" applyFont="1" applyAlignment="1">
      <alignment horizontal="right" vertical="center"/>
    </xf>
    <xf numFmtId="49" fontId="0" fillId="0" borderId="6" xfId="0" applyNumberFormat="1" applyBorder="1" applyAlignment="1">
      <alignment horizontal="left" vertical="center" wrapText="1"/>
    </xf>
    <xf numFmtId="49" fontId="0" fillId="0" borderId="9" xfId="0" applyNumberFormat="1" applyBorder="1" applyAlignment="1">
      <alignment horizontal="left" vertical="center" wrapText="1"/>
    </xf>
    <xf numFmtId="0" fontId="0" fillId="0" borderId="0" xfId="0" applyAlignment="1">
      <alignment vertical="center"/>
    </xf>
    <xf numFmtId="0" fontId="8" fillId="0" borderId="0" xfId="1" applyAlignment="1">
      <alignment horizontal="left" vertical="center" wrapText="1"/>
    </xf>
    <xf numFmtId="0" fontId="7" fillId="0" borderId="2" xfId="1" applyFont="1" applyBorder="1" applyAlignment="1">
      <alignment horizontal="left" vertical="center" wrapText="1"/>
    </xf>
    <xf numFmtId="0" fontId="7" fillId="0" borderId="3" xfId="1" applyFont="1" applyBorder="1" applyAlignment="1">
      <alignment horizontal="left" vertical="center"/>
    </xf>
    <xf numFmtId="0" fontId="7" fillId="0" borderId="5" xfId="1" applyFont="1" applyBorder="1" applyAlignment="1">
      <alignment horizontal="left" vertical="center" wrapText="1"/>
    </xf>
    <xf numFmtId="0" fontId="7" fillId="0" borderId="5" xfId="1" applyFont="1" applyBorder="1" applyAlignment="1">
      <alignment horizontal="left" vertical="center"/>
    </xf>
    <xf numFmtId="0" fontId="7" fillId="0" borderId="6" xfId="1" applyFont="1" applyBorder="1" applyAlignment="1">
      <alignment horizontal="left" vertical="center"/>
    </xf>
    <xf numFmtId="0" fontId="0" fillId="0" borderId="6" xfId="1" applyFont="1" applyBorder="1" applyAlignment="1">
      <alignment horizontal="left" vertical="center"/>
    </xf>
    <xf numFmtId="0" fontId="7" fillId="0" borderId="8" xfId="1" applyFont="1" applyBorder="1" applyAlignment="1">
      <alignment horizontal="left" vertical="center"/>
    </xf>
    <xf numFmtId="0" fontId="7" fillId="0" borderId="8" xfId="1" applyFont="1" applyBorder="1" applyAlignment="1">
      <alignment horizontal="left" vertical="center" wrapText="1"/>
    </xf>
    <xf numFmtId="0" fontId="7" fillId="0" borderId="9" xfId="1" applyFont="1" applyBorder="1" applyAlignment="1">
      <alignment horizontal="left" vertical="center"/>
    </xf>
    <xf numFmtId="0" fontId="7" fillId="0" borderId="24" xfId="1" applyFont="1" applyBorder="1" applyAlignment="1">
      <alignment horizontal="left" vertical="center"/>
    </xf>
    <xf numFmtId="0" fontId="7" fillId="0" borderId="2" xfId="1" applyFont="1" applyBorder="1" applyAlignment="1">
      <alignment horizontal="left" vertical="center"/>
    </xf>
    <xf numFmtId="0" fontId="10" fillId="0" borderId="0" xfId="1" applyFont="1" applyAlignment="1">
      <alignment horizontal="center" vertical="center" wrapText="1"/>
    </xf>
    <xf numFmtId="0" fontId="10" fillId="0" borderId="0" xfId="1" applyFont="1" applyAlignment="1">
      <alignment horizontal="right" vertical="center" wrapText="1"/>
    </xf>
    <xf numFmtId="1" fontId="0" fillId="0" borderId="2" xfId="0" applyNumberFormat="1" applyBorder="1" applyAlignment="1">
      <alignment horizontal="center" vertical="center"/>
    </xf>
    <xf numFmtId="1" fontId="0" fillId="0" borderId="21" xfId="0" applyNumberFormat="1" applyBorder="1" applyAlignment="1">
      <alignment horizontal="center" vertical="center"/>
    </xf>
    <xf numFmtId="1" fontId="0" fillId="0" borderId="24" xfId="0" applyNumberFormat="1" applyBorder="1" applyAlignment="1">
      <alignment horizontal="center" vertical="center"/>
    </xf>
    <xf numFmtId="0" fontId="4" fillId="0" borderId="0" xfId="0" applyFont="1"/>
    <xf numFmtId="0" fontId="0" fillId="0" borderId="5" xfId="1" applyFont="1" applyBorder="1" applyAlignment="1">
      <alignment horizontal="left" vertical="center" wrapText="1"/>
    </xf>
    <xf numFmtId="0" fontId="0" fillId="0" borderId="6" xfId="1" applyFont="1" applyBorder="1" applyAlignment="1">
      <alignment horizontal="left" vertical="center" wrapText="1"/>
    </xf>
    <xf numFmtId="0" fontId="5" fillId="3" borderId="20" xfId="1" applyFont="1" applyFill="1" applyBorder="1" applyAlignment="1">
      <alignment horizontal="center" vertical="center" wrapText="1"/>
    </xf>
    <xf numFmtId="0" fontId="5" fillId="3" borderId="21" xfId="1" applyFont="1" applyFill="1" applyBorder="1" applyAlignment="1">
      <alignment horizontal="center" vertical="center" wrapText="1"/>
    </xf>
    <xf numFmtId="0" fontId="5" fillId="3" borderId="22" xfId="1" applyFont="1" applyFill="1" applyBorder="1" applyAlignment="1">
      <alignment horizontal="center" vertical="center" wrapText="1"/>
    </xf>
    <xf numFmtId="0" fontId="0" fillId="0" borderId="9" xfId="1" applyFont="1" applyBorder="1" applyAlignment="1">
      <alignment horizontal="left" vertical="center" wrapText="1"/>
    </xf>
    <xf numFmtId="0" fontId="5" fillId="3" borderId="26" xfId="1" applyFont="1" applyFill="1" applyBorder="1" applyAlignment="1">
      <alignment horizontal="center" vertical="center" wrapText="1"/>
    </xf>
    <xf numFmtId="0" fontId="7" fillId="0" borderId="11" xfId="1" applyFont="1" applyBorder="1" applyAlignment="1">
      <alignment horizontal="center" vertical="center" wrapText="1"/>
    </xf>
    <xf numFmtId="0" fontId="7" fillId="0" borderId="12" xfId="1" applyFont="1" applyBorder="1" applyAlignment="1">
      <alignment horizontal="center" vertical="center"/>
    </xf>
    <xf numFmtId="0" fontId="7" fillId="0" borderId="13" xfId="1" applyFont="1" applyBorder="1" applyAlignment="1">
      <alignment horizontal="center" vertical="center"/>
    </xf>
    <xf numFmtId="0" fontId="7" fillId="0" borderId="11" xfId="1" applyFont="1" applyBorder="1" applyAlignment="1">
      <alignment horizontal="center" vertical="center"/>
    </xf>
    <xf numFmtId="0" fontId="0" fillId="0" borderId="12" xfId="1" applyFont="1" applyBorder="1" applyAlignment="1">
      <alignment horizontal="center" vertical="center"/>
    </xf>
    <xf numFmtId="0" fontId="7" fillId="0" borderId="27" xfId="1" applyFont="1" applyBorder="1" applyAlignment="1">
      <alignment horizontal="center" vertical="center" wrapText="1"/>
    </xf>
    <xf numFmtId="0" fontId="7" fillId="0" borderId="12" xfId="1" applyFont="1" applyBorder="1" applyAlignment="1">
      <alignment horizontal="center" vertical="center" wrapText="1"/>
    </xf>
    <xf numFmtId="0" fontId="7" fillId="0" borderId="13" xfId="1" applyFont="1" applyBorder="1" applyAlignment="1">
      <alignment horizontal="center" vertical="center" wrapText="1"/>
    </xf>
    <xf numFmtId="0" fontId="0" fillId="0" borderId="24" xfId="0" applyBorder="1" applyAlignment="1">
      <alignment horizontal="left" vertical="center"/>
    </xf>
    <xf numFmtId="0" fontId="2" fillId="0" borderId="24" xfId="0" applyFont="1" applyBorder="1" applyAlignment="1">
      <alignment horizontal="center" vertical="center"/>
    </xf>
    <xf numFmtId="0" fontId="6" fillId="0" borderId="27" xfId="0" applyFont="1" applyBorder="1" applyAlignment="1">
      <alignment horizontal="center" vertical="center"/>
    </xf>
    <xf numFmtId="49" fontId="0" fillId="0" borderId="25" xfId="0" applyNumberFormat="1" applyBorder="1" applyAlignment="1">
      <alignment horizontal="right"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7" xfId="0" applyBorder="1" applyAlignment="1">
      <alignment horizontal="center" vertical="center"/>
    </xf>
    <xf numFmtId="165" fontId="0" fillId="0" borderId="25" xfId="0" applyNumberFormat="1" applyBorder="1" applyAlignment="1">
      <alignment horizontal="right" vertical="center"/>
    </xf>
    <xf numFmtId="0" fontId="1" fillId="0" borderId="8" xfId="0" applyFont="1" applyBorder="1" applyAlignment="1">
      <alignment horizontal="center" vertical="center"/>
    </xf>
    <xf numFmtId="49" fontId="0" fillId="0" borderId="9" xfId="0" applyNumberFormat="1" applyBorder="1" applyAlignment="1">
      <alignment horizontal="right" vertical="center"/>
    </xf>
    <xf numFmtId="0" fontId="0" fillId="0" borderId="2" xfId="0" applyBorder="1" applyAlignment="1">
      <alignment horizontal="left" vertical="center"/>
    </xf>
    <xf numFmtId="0" fontId="2" fillId="0" borderId="2" xfId="0" applyFont="1" applyBorder="1" applyAlignment="1">
      <alignment horizontal="center" vertical="center"/>
    </xf>
    <xf numFmtId="0" fontId="6" fillId="0" borderId="11" xfId="0" applyFont="1" applyBorder="1" applyAlignment="1">
      <alignment horizontal="center" vertical="center"/>
    </xf>
    <xf numFmtId="49" fontId="0" fillId="0" borderId="3" xfId="0" applyNumberFormat="1" applyBorder="1" applyAlignment="1">
      <alignment horizontal="right" vertical="center"/>
    </xf>
    <xf numFmtId="0" fontId="0" fillId="0" borderId="17" xfId="0" applyBorder="1" applyAlignment="1">
      <alignment horizontal="center" vertical="center"/>
    </xf>
    <xf numFmtId="0" fontId="0" fillId="0" borderId="2" xfId="0" applyBorder="1" applyAlignment="1">
      <alignment horizontal="center" vertical="center"/>
    </xf>
    <xf numFmtId="0" fontId="0" fillId="0" borderId="11" xfId="0" applyBorder="1" applyAlignment="1">
      <alignment horizontal="center" vertical="center"/>
    </xf>
    <xf numFmtId="0" fontId="1" fillId="0" borderId="2" xfId="0" applyFont="1" applyBorder="1" applyAlignment="1">
      <alignment horizontal="center" vertical="center"/>
    </xf>
    <xf numFmtId="49" fontId="0" fillId="0" borderId="3" xfId="0" applyNumberFormat="1" applyBorder="1" applyAlignment="1">
      <alignment horizontal="left" vertical="center" wrapText="1"/>
    </xf>
    <xf numFmtId="0" fontId="0" fillId="0" borderId="0" xfId="0" applyAlignment="1">
      <alignment horizontal="right" vertical="center"/>
    </xf>
    <xf numFmtId="0" fontId="9" fillId="0" borderId="0" xfId="0" applyFont="1"/>
    <xf numFmtId="1" fontId="0" fillId="0" borderId="12" xfId="0" applyNumberFormat="1" applyBorder="1" applyAlignment="1">
      <alignment horizontal="center" vertical="center"/>
    </xf>
    <xf numFmtId="0" fontId="0" fillId="0" borderId="3" xfId="1" applyFont="1" applyBorder="1" applyAlignment="1">
      <alignment horizontal="left" vertical="center" wrapText="1"/>
    </xf>
    <xf numFmtId="0" fontId="12" fillId="0" borderId="0" xfId="1" applyFont="1" applyAlignment="1">
      <alignment horizontal="right" vertical="center" wrapText="1"/>
    </xf>
    <xf numFmtId="0" fontId="12" fillId="0" borderId="0" xfId="1" applyFont="1" applyAlignment="1">
      <alignment horizontal="center" vertical="center" wrapText="1"/>
    </xf>
    <xf numFmtId="0" fontId="8" fillId="0" borderId="0" xfId="1" applyAlignment="1">
      <alignment horizontal="left" vertical="center"/>
    </xf>
    <xf numFmtId="0" fontId="7" fillId="0" borderId="28" xfId="1" applyFont="1" applyBorder="1" applyAlignment="1">
      <alignment horizontal="center" vertical="center"/>
    </xf>
    <xf numFmtId="0" fontId="0" fillId="0" borderId="31" xfId="1" applyFont="1" applyBorder="1" applyAlignment="1">
      <alignment horizontal="left" vertical="center"/>
    </xf>
    <xf numFmtId="0" fontId="0" fillId="0" borderId="32" xfId="1" applyFont="1" applyBorder="1" applyAlignment="1">
      <alignment horizontal="left" vertical="center" wrapText="1"/>
    </xf>
    <xf numFmtId="49" fontId="0" fillId="0" borderId="5" xfId="0" applyNumberFormat="1" applyBorder="1"/>
    <xf numFmtId="49" fontId="0" fillId="0" borderId="0" xfId="0" applyNumberFormat="1" applyAlignment="1">
      <alignment horizontal="left" vertical="center"/>
    </xf>
    <xf numFmtId="49" fontId="0" fillId="0" borderId="5" xfId="0" applyNumberFormat="1" applyBorder="1" applyAlignment="1">
      <alignment horizontal="left" vertical="center"/>
    </xf>
    <xf numFmtId="0" fontId="3" fillId="0" borderId="10" xfId="0" applyFont="1" applyBorder="1" applyAlignment="1">
      <alignment vertical="center"/>
    </xf>
    <xf numFmtId="49" fontId="16" fillId="0" borderId="0" xfId="0" applyNumberFormat="1" applyFont="1"/>
    <xf numFmtId="49" fontId="16" fillId="0" borderId="0" xfId="0" applyNumberFormat="1" applyFont="1" applyAlignment="1">
      <alignment horizontal="left" vertical="center"/>
    </xf>
    <xf numFmtId="165" fontId="16" fillId="0" borderId="12" xfId="0" applyNumberFormat="1" applyFont="1" applyBorder="1" applyAlignment="1">
      <alignment horizontal="right" vertical="center"/>
    </xf>
    <xf numFmtId="0" fontId="16" fillId="0" borderId="14" xfId="0" applyFont="1" applyBorder="1" applyAlignment="1">
      <alignment horizontal="center" vertical="center" wrapText="1"/>
    </xf>
    <xf numFmtId="0" fontId="16" fillId="0" borderId="5" xfId="0" applyFont="1" applyBorder="1" applyAlignment="1">
      <alignment horizontal="center" vertical="center" wrapText="1"/>
    </xf>
    <xf numFmtId="1" fontId="16" fillId="0" borderId="5" xfId="0" applyNumberFormat="1" applyFont="1" applyBorder="1" applyAlignment="1">
      <alignment horizontal="center" vertical="center"/>
    </xf>
    <xf numFmtId="165" fontId="16" fillId="0" borderId="6" xfId="0" applyNumberFormat="1" applyFont="1" applyBorder="1" applyAlignment="1">
      <alignment horizontal="right" vertical="center"/>
    </xf>
    <xf numFmtId="49" fontId="16" fillId="0" borderId="5" xfId="0" applyNumberFormat="1" applyFont="1" applyBorder="1" applyAlignment="1">
      <alignment horizontal="left" vertical="center"/>
    </xf>
    <xf numFmtId="0" fontId="16" fillId="0" borderId="8" xfId="0" applyFont="1" applyBorder="1" applyAlignment="1">
      <alignment horizontal="left" vertical="center"/>
    </xf>
    <xf numFmtId="165" fontId="16" fillId="0" borderId="13" xfId="0" applyNumberFormat="1" applyFont="1" applyBorder="1" applyAlignment="1">
      <alignment horizontal="right" vertical="center"/>
    </xf>
    <xf numFmtId="0" fontId="16" fillId="0" borderId="16" xfId="0" applyFont="1" applyBorder="1" applyAlignment="1">
      <alignment horizontal="center" vertical="center" wrapText="1"/>
    </xf>
    <xf numFmtId="0" fontId="16" fillId="0" borderId="8" xfId="0" applyFont="1" applyBorder="1" applyAlignment="1">
      <alignment horizontal="center" vertical="center" wrapText="1"/>
    </xf>
    <xf numFmtId="1" fontId="16" fillId="0" borderId="8" xfId="0" applyNumberFormat="1" applyFont="1" applyBorder="1" applyAlignment="1">
      <alignment horizontal="center" vertical="center"/>
    </xf>
    <xf numFmtId="165" fontId="16" fillId="0" borderId="9" xfId="0" applyNumberFormat="1" applyFont="1" applyBorder="1" applyAlignment="1">
      <alignment horizontal="right" vertical="center"/>
    </xf>
    <xf numFmtId="0" fontId="16" fillId="0" borderId="5" xfId="0" applyFont="1" applyBorder="1" applyAlignment="1">
      <alignment horizontal="left" vertical="center"/>
    </xf>
    <xf numFmtId="49" fontId="13" fillId="0" borderId="0" xfId="0" applyNumberFormat="1" applyFont="1" applyAlignment="1">
      <alignment vertical="center"/>
    </xf>
    <xf numFmtId="165" fontId="17" fillId="0" borderId="0" xfId="0" applyNumberFormat="1" applyFont="1"/>
    <xf numFmtId="0" fontId="5" fillId="2" borderId="33" xfId="0" applyFont="1" applyFill="1" applyBorder="1" applyAlignment="1">
      <alignment horizontal="center" vertical="center" wrapText="1"/>
    </xf>
    <xf numFmtId="0" fontId="5" fillId="2" borderId="34" xfId="0" applyFont="1" applyFill="1" applyBorder="1" applyAlignment="1">
      <alignment horizontal="center" vertical="center" wrapText="1"/>
    </xf>
    <xf numFmtId="0" fontId="0" fillId="0" borderId="14" xfId="0" applyBorder="1" applyAlignment="1">
      <alignment horizontal="left" vertical="center" wrapText="1"/>
    </xf>
    <xf numFmtId="0" fontId="0" fillId="0" borderId="36" xfId="0" applyBorder="1" applyAlignment="1">
      <alignment horizontal="left" vertical="center" wrapText="1"/>
    </xf>
    <xf numFmtId="0" fontId="5" fillId="2" borderId="17"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0" fillId="4" borderId="18" xfId="0" applyFill="1" applyBorder="1" applyAlignment="1">
      <alignment horizontal="center" vertical="center"/>
    </xf>
    <xf numFmtId="0" fontId="0" fillId="4" borderId="19" xfId="0" applyFill="1" applyBorder="1" applyAlignment="1">
      <alignment horizontal="center" vertical="center"/>
    </xf>
    <xf numFmtId="0" fontId="0" fillId="4" borderId="17" xfId="0" applyFill="1" applyBorder="1" applyAlignment="1">
      <alignment horizontal="center" vertical="center"/>
    </xf>
    <xf numFmtId="0" fontId="0" fillId="4" borderId="29" xfId="0" applyFill="1" applyBorder="1" applyAlignment="1">
      <alignment horizontal="center" vertical="center"/>
    </xf>
    <xf numFmtId="0" fontId="0" fillId="4" borderId="5" xfId="0" applyFill="1" applyBorder="1" applyAlignment="1">
      <alignment horizontal="center" vertical="center"/>
    </xf>
    <xf numFmtId="0" fontId="0" fillId="4" borderId="8" xfId="0" applyFill="1" applyBorder="1" applyAlignment="1">
      <alignment horizontal="center" vertical="center"/>
    </xf>
    <xf numFmtId="0" fontId="0" fillId="4" borderId="2" xfId="0" applyFill="1" applyBorder="1" applyAlignment="1">
      <alignment horizontal="center" vertical="center"/>
    </xf>
    <xf numFmtId="0" fontId="0" fillId="4" borderId="24" xfId="0" applyFill="1" applyBorder="1" applyAlignment="1">
      <alignment horizontal="center" vertical="center"/>
    </xf>
    <xf numFmtId="0" fontId="0" fillId="4" borderId="12" xfId="0" applyFill="1" applyBorder="1" applyAlignment="1">
      <alignment horizontal="center" vertical="center"/>
    </xf>
    <xf numFmtId="0" fontId="0" fillId="4" borderId="13" xfId="0" applyFill="1" applyBorder="1" applyAlignment="1">
      <alignment horizontal="center" vertical="center"/>
    </xf>
    <xf numFmtId="0" fontId="0" fillId="4" borderId="11" xfId="0" applyFill="1" applyBorder="1" applyAlignment="1">
      <alignment horizontal="center" vertical="center"/>
    </xf>
    <xf numFmtId="0" fontId="0" fillId="4" borderId="27" xfId="0" applyFill="1" applyBorder="1" applyAlignment="1">
      <alignment horizontal="center" vertical="center"/>
    </xf>
    <xf numFmtId="0" fontId="4" fillId="0" borderId="0" xfId="0" applyFont="1" applyAlignment="1">
      <alignment wrapText="1"/>
    </xf>
    <xf numFmtId="0" fontId="5" fillId="4" borderId="21" xfId="1" applyFont="1" applyFill="1" applyBorder="1" applyAlignment="1">
      <alignment horizontal="center" vertical="center" wrapText="1"/>
    </xf>
    <xf numFmtId="0" fontId="7" fillId="4" borderId="2" xfId="1" applyFont="1" applyFill="1" applyBorder="1" applyAlignment="1">
      <alignment horizontal="center" vertical="center" wrapText="1"/>
    </xf>
    <xf numFmtId="0" fontId="7" fillId="4" borderId="5" xfId="1" applyFont="1" applyFill="1" applyBorder="1" applyAlignment="1">
      <alignment horizontal="center" vertical="center"/>
    </xf>
    <xf numFmtId="0" fontId="7" fillId="4" borderId="8" xfId="1" applyFont="1" applyFill="1" applyBorder="1" applyAlignment="1">
      <alignment horizontal="center" vertical="center"/>
    </xf>
    <xf numFmtId="0" fontId="7" fillId="4" borderId="2" xfId="1" applyFont="1" applyFill="1" applyBorder="1" applyAlignment="1">
      <alignment horizontal="center" vertical="center"/>
    </xf>
    <xf numFmtId="0" fontId="0" fillId="4" borderId="5" xfId="1" applyFont="1" applyFill="1" applyBorder="1" applyAlignment="1">
      <alignment horizontal="center" vertical="center"/>
    </xf>
    <xf numFmtId="0" fontId="7" fillId="4" borderId="31" xfId="1" applyFont="1" applyFill="1" applyBorder="1" applyAlignment="1">
      <alignment horizontal="center" vertical="center"/>
    </xf>
    <xf numFmtId="0" fontId="7" fillId="4" borderId="24" xfId="1" applyFont="1" applyFill="1" applyBorder="1" applyAlignment="1">
      <alignment horizontal="center" vertical="center" wrapText="1"/>
    </xf>
    <xf numFmtId="0" fontId="7" fillId="4" borderId="5" xfId="1" applyFont="1" applyFill="1" applyBorder="1" applyAlignment="1">
      <alignment horizontal="center" vertical="center" wrapText="1"/>
    </xf>
    <xf numFmtId="0" fontId="7" fillId="4" borderId="8" xfId="1" applyFont="1" applyFill="1" applyBorder="1" applyAlignment="1">
      <alignment horizontal="center" vertical="center" wrapText="1"/>
    </xf>
    <xf numFmtId="0" fontId="5" fillId="4" borderId="26" xfId="1" applyFont="1" applyFill="1" applyBorder="1" applyAlignment="1">
      <alignment horizontal="center" vertical="center" wrapText="1"/>
    </xf>
    <xf numFmtId="0" fontId="7" fillId="4" borderId="11" xfId="1" applyFont="1" applyFill="1" applyBorder="1" applyAlignment="1">
      <alignment horizontal="center" vertical="center" wrapText="1"/>
    </xf>
    <xf numFmtId="0" fontId="7" fillId="4" borderId="12" xfId="1" applyFont="1" applyFill="1" applyBorder="1" applyAlignment="1">
      <alignment horizontal="center" vertical="center"/>
    </xf>
    <xf numFmtId="0" fontId="7" fillId="4" borderId="13" xfId="1" applyFont="1" applyFill="1" applyBorder="1" applyAlignment="1">
      <alignment horizontal="center" vertical="center"/>
    </xf>
    <xf numFmtId="0" fontId="7" fillId="4" borderId="11" xfId="1" applyFont="1" applyFill="1" applyBorder="1" applyAlignment="1">
      <alignment horizontal="center" vertical="center"/>
    </xf>
    <xf numFmtId="0" fontId="0" fillId="4" borderId="12" xfId="1" applyFont="1" applyFill="1" applyBorder="1" applyAlignment="1">
      <alignment horizontal="center" vertical="center"/>
    </xf>
    <xf numFmtId="0" fontId="7" fillId="4" borderId="28" xfId="1" applyFont="1" applyFill="1" applyBorder="1" applyAlignment="1">
      <alignment horizontal="center" vertical="center"/>
    </xf>
    <xf numFmtId="0" fontId="7" fillId="4" borderId="27" xfId="1" applyFont="1" applyFill="1" applyBorder="1" applyAlignment="1">
      <alignment horizontal="center" vertical="center" wrapText="1"/>
    </xf>
    <xf numFmtId="0" fontId="7" fillId="4" borderId="12" xfId="1" applyFont="1" applyFill="1" applyBorder="1" applyAlignment="1">
      <alignment horizontal="center" vertical="center" wrapText="1"/>
    </xf>
    <xf numFmtId="0" fontId="7" fillId="4" borderId="13" xfId="1" applyFont="1" applyFill="1" applyBorder="1" applyAlignment="1">
      <alignment horizontal="center" vertical="center" wrapText="1"/>
    </xf>
    <xf numFmtId="0" fontId="9" fillId="0" borderId="0" xfId="0" applyFont="1" applyAlignment="1">
      <alignment horizontal="center"/>
    </xf>
    <xf numFmtId="0" fontId="12" fillId="0" borderId="0" xfId="1" applyFont="1" applyAlignment="1">
      <alignment horizontal="left" vertical="center"/>
    </xf>
    <xf numFmtId="0" fontId="0" fillId="0" borderId="5" xfId="0" applyBorder="1" applyAlignment="1">
      <alignment horizontal="center"/>
    </xf>
    <xf numFmtId="0" fontId="0" fillId="0" borderId="14" xfId="0" applyBorder="1"/>
    <xf numFmtId="0" fontId="0" fillId="0" borderId="36" xfId="0" applyBorder="1"/>
    <xf numFmtId="0" fontId="0" fillId="0" borderId="39" xfId="0" applyBorder="1" applyAlignment="1">
      <alignment horizontal="center"/>
    </xf>
    <xf numFmtId="0" fontId="5" fillId="2" borderId="33" xfId="0" applyFont="1" applyFill="1" applyBorder="1" applyAlignment="1">
      <alignment vertical="center"/>
    </xf>
    <xf numFmtId="0" fontId="5" fillId="2" borderId="38" xfId="0" applyFont="1" applyFill="1" applyBorder="1" applyAlignment="1">
      <alignment horizontal="center" vertical="center" wrapText="1"/>
    </xf>
    <xf numFmtId="165" fontId="0" fillId="0" borderId="5" xfId="0" applyNumberFormat="1" applyBorder="1"/>
    <xf numFmtId="165" fontId="0" fillId="0" borderId="39" xfId="0" applyNumberFormat="1" applyBorder="1"/>
    <xf numFmtId="165" fontId="0" fillId="0" borderId="35" xfId="0" applyNumberFormat="1" applyBorder="1"/>
    <xf numFmtId="165" fontId="0" fillId="0" borderId="37" xfId="0" applyNumberFormat="1" applyBorder="1"/>
    <xf numFmtId="0" fontId="14" fillId="0" borderId="33" xfId="0" applyFont="1" applyBorder="1"/>
    <xf numFmtId="165" fontId="14" fillId="0" borderId="34" xfId="0" applyNumberFormat="1" applyFont="1" applyBorder="1"/>
    <xf numFmtId="0" fontId="14" fillId="0" borderId="36" xfId="0" applyFont="1" applyBorder="1"/>
    <xf numFmtId="165" fontId="14" fillId="0" borderId="37" xfId="0" applyNumberFormat="1" applyFont="1" applyBorder="1"/>
    <xf numFmtId="165" fontId="0" fillId="4" borderId="5" xfId="0" applyNumberFormat="1" applyFill="1" applyBorder="1" applyAlignment="1">
      <alignment horizontal="center" vertical="center"/>
    </xf>
    <xf numFmtId="165" fontId="0" fillId="4" borderId="18" xfId="0" applyNumberFormat="1" applyFill="1" applyBorder="1" applyAlignment="1">
      <alignment horizontal="center" vertical="center"/>
    </xf>
    <xf numFmtId="165" fontId="0" fillId="4" borderId="12" xfId="0" applyNumberFormat="1" applyFill="1" applyBorder="1" applyAlignment="1">
      <alignment horizontal="center" vertical="center"/>
    </xf>
    <xf numFmtId="165" fontId="0" fillId="4" borderId="13" xfId="0" applyNumberFormat="1" applyFill="1" applyBorder="1" applyAlignment="1">
      <alignment horizontal="center" vertical="center"/>
    </xf>
    <xf numFmtId="165" fontId="0" fillId="4" borderId="11" xfId="0" applyNumberFormat="1" applyFill="1" applyBorder="1" applyAlignment="1">
      <alignment horizontal="center" vertical="center"/>
    </xf>
    <xf numFmtId="165" fontId="0" fillId="4" borderId="27" xfId="0" applyNumberFormat="1" applyFill="1" applyBorder="1" applyAlignment="1">
      <alignment horizontal="center" vertical="center"/>
    </xf>
    <xf numFmtId="165" fontId="7" fillId="4" borderId="2" xfId="1" applyNumberFormat="1" applyFont="1" applyFill="1" applyBorder="1" applyAlignment="1">
      <alignment horizontal="center" vertical="center" wrapText="1"/>
    </xf>
    <xf numFmtId="165" fontId="7" fillId="4" borderId="5" xfId="1" applyNumberFormat="1" applyFont="1" applyFill="1" applyBorder="1" applyAlignment="1">
      <alignment horizontal="center" vertical="center"/>
    </xf>
    <xf numFmtId="165" fontId="7" fillId="4" borderId="8" xfId="1" applyNumberFormat="1" applyFont="1" applyFill="1" applyBorder="1" applyAlignment="1">
      <alignment horizontal="center" vertical="center"/>
    </xf>
    <xf numFmtId="165" fontId="7" fillId="4" borderId="2" xfId="1" applyNumberFormat="1" applyFont="1" applyFill="1" applyBorder="1" applyAlignment="1">
      <alignment horizontal="center" vertical="center"/>
    </xf>
    <xf numFmtId="165" fontId="7" fillId="4" borderId="31" xfId="1" applyNumberFormat="1" applyFont="1" applyFill="1" applyBorder="1" applyAlignment="1">
      <alignment horizontal="center" vertical="center"/>
    </xf>
    <xf numFmtId="165" fontId="0" fillId="4" borderId="5" xfId="1" applyNumberFormat="1" applyFont="1" applyFill="1" applyBorder="1" applyAlignment="1">
      <alignment horizontal="center" vertical="center"/>
    </xf>
    <xf numFmtId="165" fontId="7" fillId="4" borderId="24" xfId="1" applyNumberFormat="1" applyFont="1" applyFill="1" applyBorder="1" applyAlignment="1">
      <alignment horizontal="center" vertical="center" wrapText="1"/>
    </xf>
    <xf numFmtId="165" fontId="7" fillId="4" borderId="5" xfId="1" applyNumberFormat="1" applyFont="1" applyFill="1" applyBorder="1" applyAlignment="1">
      <alignment horizontal="center" vertical="center" wrapText="1"/>
    </xf>
    <xf numFmtId="165" fontId="7" fillId="4" borderId="8" xfId="1" applyNumberFormat="1" applyFont="1" applyFill="1" applyBorder="1" applyAlignment="1">
      <alignment horizontal="center" vertical="center" wrapText="1"/>
    </xf>
    <xf numFmtId="165" fontId="7" fillId="4" borderId="11" xfId="1" applyNumberFormat="1" applyFont="1" applyFill="1" applyBorder="1" applyAlignment="1">
      <alignment horizontal="center" vertical="center" wrapText="1"/>
    </xf>
    <xf numFmtId="165" fontId="7" fillId="4" borderId="12" xfId="1" applyNumberFormat="1" applyFont="1" applyFill="1" applyBorder="1" applyAlignment="1">
      <alignment horizontal="center" vertical="center"/>
    </xf>
    <xf numFmtId="165" fontId="7" fillId="4" borderId="13" xfId="1" applyNumberFormat="1" applyFont="1" applyFill="1" applyBorder="1" applyAlignment="1">
      <alignment horizontal="center" vertical="center"/>
    </xf>
    <xf numFmtId="165" fontId="7" fillId="4" borderId="11" xfId="1" applyNumberFormat="1" applyFont="1" applyFill="1" applyBorder="1" applyAlignment="1">
      <alignment horizontal="center" vertical="center"/>
    </xf>
    <xf numFmtId="165" fontId="0" fillId="4" borderId="12" xfId="1" applyNumberFormat="1" applyFont="1" applyFill="1" applyBorder="1" applyAlignment="1">
      <alignment horizontal="center" vertical="center"/>
    </xf>
    <xf numFmtId="165" fontId="7" fillId="4" borderId="28" xfId="1" applyNumberFormat="1" applyFont="1" applyFill="1" applyBorder="1" applyAlignment="1">
      <alignment horizontal="center" vertical="center"/>
    </xf>
    <xf numFmtId="165" fontId="7" fillId="4" borderId="27" xfId="1" applyNumberFormat="1" applyFont="1" applyFill="1" applyBorder="1" applyAlignment="1">
      <alignment horizontal="center" vertical="center" wrapText="1"/>
    </xf>
    <xf numFmtId="165" fontId="7" fillId="4" borderId="12" xfId="1" applyNumberFormat="1" applyFont="1" applyFill="1" applyBorder="1" applyAlignment="1">
      <alignment horizontal="center" vertical="center" wrapText="1"/>
    </xf>
    <xf numFmtId="165" fontId="7" fillId="4" borderId="13" xfId="1" applyNumberFormat="1" applyFont="1" applyFill="1" applyBorder="1" applyAlignment="1">
      <alignment horizontal="center" vertical="center" wrapText="1"/>
    </xf>
    <xf numFmtId="165" fontId="7" fillId="0" borderId="11" xfId="1" applyNumberFormat="1" applyFont="1" applyBorder="1" applyAlignment="1">
      <alignment horizontal="center" vertical="center" wrapText="1"/>
    </xf>
    <xf numFmtId="165" fontId="7" fillId="0" borderId="12" xfId="1" applyNumberFormat="1" applyFont="1" applyBorder="1" applyAlignment="1">
      <alignment horizontal="center" vertical="center"/>
    </xf>
    <xf numFmtId="165" fontId="7" fillId="0" borderId="13" xfId="1" applyNumberFormat="1" applyFont="1" applyBorder="1" applyAlignment="1">
      <alignment horizontal="center" vertical="center"/>
    </xf>
    <xf numFmtId="165" fontId="7" fillId="0" borderId="11" xfId="1" applyNumberFormat="1" applyFont="1" applyBorder="1" applyAlignment="1">
      <alignment horizontal="center" vertical="center"/>
    </xf>
    <xf numFmtId="165" fontId="0" fillId="0" borderId="12" xfId="1" applyNumberFormat="1" applyFont="1" applyBorder="1" applyAlignment="1">
      <alignment horizontal="center" vertical="center"/>
    </xf>
    <xf numFmtId="165" fontId="7" fillId="0" borderId="28" xfId="1" applyNumberFormat="1" applyFont="1" applyBorder="1" applyAlignment="1">
      <alignment horizontal="center" vertical="center"/>
    </xf>
    <xf numFmtId="165" fontId="7" fillId="0" borderId="27" xfId="1" applyNumberFormat="1" applyFont="1" applyBorder="1" applyAlignment="1">
      <alignment horizontal="center" vertical="center" wrapText="1"/>
    </xf>
    <xf numFmtId="165" fontId="7" fillId="0" borderId="12" xfId="1" applyNumberFormat="1" applyFont="1" applyBorder="1" applyAlignment="1">
      <alignment horizontal="center" vertical="center" wrapText="1"/>
    </xf>
    <xf numFmtId="165" fontId="7" fillId="0" borderId="13" xfId="1" applyNumberFormat="1" applyFont="1" applyBorder="1" applyAlignment="1">
      <alignment horizontal="center" vertical="center" wrapText="1"/>
    </xf>
    <xf numFmtId="165" fontId="10" fillId="0" borderId="0" xfId="1" applyNumberFormat="1" applyFont="1" applyAlignment="1">
      <alignment horizontal="center" vertical="center" wrapText="1"/>
    </xf>
    <xf numFmtId="0" fontId="18" fillId="0" borderId="0" xfId="1" applyFont="1" applyAlignment="1">
      <alignment horizontal="left" vertical="center" wrapText="1"/>
    </xf>
    <xf numFmtId="0" fontId="0" fillId="0" borderId="0" xfId="0" applyAlignment="1">
      <alignment wrapText="1"/>
    </xf>
    <xf numFmtId="0" fontId="0" fillId="0" borderId="0" xfId="0" applyAlignment="1">
      <alignment vertical="center" wrapText="1"/>
    </xf>
    <xf numFmtId="49" fontId="0" fillId="0" borderId="0" xfId="0" applyNumberFormat="1" applyAlignment="1">
      <alignment vertical="center" wrapText="1"/>
    </xf>
    <xf numFmtId="0" fontId="19" fillId="0" borderId="5" xfId="0" applyFont="1" applyBorder="1" applyAlignment="1">
      <alignment horizontal="left" vertical="center"/>
    </xf>
    <xf numFmtId="0" fontId="19" fillId="0" borderId="12" xfId="0" applyFont="1" applyBorder="1" applyAlignment="1">
      <alignment horizontal="center" vertical="center"/>
    </xf>
    <xf numFmtId="49" fontId="19" fillId="0" borderId="6" xfId="0" applyNumberFormat="1" applyFont="1" applyBorder="1" applyAlignment="1">
      <alignment horizontal="right" vertical="center"/>
    </xf>
    <xf numFmtId="1" fontId="19" fillId="0" borderId="5" xfId="0" applyNumberFormat="1" applyFont="1" applyBorder="1" applyAlignment="1">
      <alignment horizontal="center" vertical="center"/>
    </xf>
    <xf numFmtId="0" fontId="19" fillId="0" borderId="18" xfId="0" applyFont="1" applyBorder="1" applyAlignment="1">
      <alignment horizontal="center" vertical="center"/>
    </xf>
    <xf numFmtId="0" fontId="19" fillId="0" borderId="5" xfId="0" applyFont="1" applyBorder="1" applyAlignment="1">
      <alignment horizontal="center" vertical="center"/>
    </xf>
    <xf numFmtId="1" fontId="19" fillId="0" borderId="12" xfId="0" applyNumberFormat="1" applyFont="1" applyBorder="1" applyAlignment="1">
      <alignment horizontal="center" vertical="center"/>
    </xf>
    <xf numFmtId="165" fontId="19" fillId="0" borderId="6" xfId="0" applyNumberFormat="1" applyFont="1" applyBorder="1" applyAlignment="1">
      <alignment horizontal="right" vertical="center"/>
    </xf>
    <xf numFmtId="49" fontId="19" fillId="0" borderId="6" xfId="0" applyNumberFormat="1" applyFont="1" applyBorder="1" applyAlignment="1">
      <alignment horizontal="left" vertical="center" wrapText="1"/>
    </xf>
    <xf numFmtId="0" fontId="19" fillId="0" borderId="8" xfId="0" applyFont="1" applyBorder="1" applyAlignment="1">
      <alignment horizontal="left" vertical="center"/>
    </xf>
    <xf numFmtId="0" fontId="19" fillId="0" borderId="8" xfId="0" applyFont="1" applyBorder="1" applyAlignment="1">
      <alignment horizontal="center" vertical="center"/>
    </xf>
    <xf numFmtId="0" fontId="19" fillId="0" borderId="13" xfId="0" applyFont="1" applyBorder="1" applyAlignment="1">
      <alignment horizontal="center" vertical="center"/>
    </xf>
    <xf numFmtId="49" fontId="19" fillId="0" borderId="9" xfId="0" applyNumberFormat="1" applyFont="1" applyBorder="1" applyAlignment="1">
      <alignment horizontal="left" vertical="center" wrapText="1"/>
    </xf>
    <xf numFmtId="1" fontId="19" fillId="0" borderId="7" xfId="0" applyNumberFormat="1" applyFont="1" applyBorder="1" applyAlignment="1">
      <alignment horizontal="center" vertical="center"/>
    </xf>
    <xf numFmtId="0" fontId="19" fillId="0" borderId="19" xfId="0" applyFont="1" applyBorder="1" applyAlignment="1">
      <alignment horizontal="center" vertical="center"/>
    </xf>
    <xf numFmtId="1" fontId="19" fillId="0" borderId="13" xfId="0" applyNumberFormat="1" applyFont="1" applyBorder="1" applyAlignment="1">
      <alignment horizontal="center" vertical="center"/>
    </xf>
    <xf numFmtId="165" fontId="19" fillId="0" borderId="9" xfId="0" applyNumberFormat="1" applyFont="1" applyBorder="1" applyAlignment="1">
      <alignment horizontal="right" vertical="center"/>
    </xf>
    <xf numFmtId="0" fontId="3" fillId="0" borderId="0" xfId="0" applyFont="1" applyAlignment="1">
      <alignment horizontal="left" vertical="center" wrapText="1"/>
    </xf>
    <xf numFmtId="165" fontId="0" fillId="0" borderId="5" xfId="0" applyNumberFormat="1" applyBorder="1" applyAlignment="1">
      <alignment horizontal="right" vertical="center"/>
    </xf>
    <xf numFmtId="9" fontId="0" fillId="0" borderId="39" xfId="0" applyNumberFormat="1" applyBorder="1" applyAlignment="1">
      <alignment horizontal="right" vertical="center"/>
    </xf>
    <xf numFmtId="0" fontId="5" fillId="2" borderId="43" xfId="0" applyFont="1" applyFill="1" applyBorder="1" applyAlignment="1">
      <alignment horizontal="center" vertical="center" wrapText="1"/>
    </xf>
    <xf numFmtId="165" fontId="0" fillId="0" borderId="41" xfId="0" applyNumberFormat="1" applyBorder="1" applyAlignment="1">
      <alignment horizontal="left" vertical="center"/>
    </xf>
    <xf numFmtId="9" fontId="0" fillId="0" borderId="42" xfId="0" applyNumberFormat="1" applyBorder="1" applyAlignment="1">
      <alignment horizontal="left" vertical="center" wrapText="1"/>
    </xf>
    <xf numFmtId="165" fontId="0" fillId="0" borderId="41" xfId="0" applyNumberFormat="1" applyBorder="1" applyAlignment="1">
      <alignment horizontal="left" vertical="center" wrapText="1"/>
    </xf>
    <xf numFmtId="9" fontId="4" fillId="0" borderId="0" xfId="0" applyNumberFormat="1" applyFont="1"/>
    <xf numFmtId="0" fontId="5" fillId="2" borderId="1" xfId="0" applyFont="1" applyFill="1" applyBorder="1"/>
    <xf numFmtId="0" fontId="5" fillId="2" borderId="2" xfId="0" applyFont="1" applyFill="1" applyBorder="1" applyAlignment="1">
      <alignment horizontal="center"/>
    </xf>
    <xf numFmtId="0" fontId="5" fillId="2" borderId="3" xfId="0" applyFont="1" applyFill="1" applyBorder="1" applyAlignment="1">
      <alignment horizontal="center"/>
    </xf>
    <xf numFmtId="0" fontId="5" fillId="2" borderId="4" xfId="0" applyFont="1" applyFill="1" applyBorder="1"/>
    <xf numFmtId="165" fontId="0" fillId="0" borderId="5" xfId="0" applyNumberFormat="1" applyBorder="1" applyAlignment="1">
      <alignment horizontal="center"/>
    </xf>
    <xf numFmtId="165" fontId="0" fillId="0" borderId="6" xfId="0" applyNumberFormat="1" applyBorder="1" applyAlignment="1">
      <alignment horizontal="center"/>
    </xf>
    <xf numFmtId="165" fontId="0" fillId="0" borderId="6" xfId="0" applyNumberFormat="1" applyBorder="1"/>
    <xf numFmtId="0" fontId="5" fillId="2" borderId="30" xfId="0" applyFont="1" applyFill="1" applyBorder="1"/>
    <xf numFmtId="165" fontId="0" fillId="0" borderId="31" xfId="0" applyNumberFormat="1" applyBorder="1"/>
    <xf numFmtId="165" fontId="0" fillId="0" borderId="32" xfId="0" applyNumberFormat="1" applyBorder="1"/>
    <xf numFmtId="165" fontId="0" fillId="0" borderId="2" xfId="0" applyNumberFormat="1" applyBorder="1"/>
    <xf numFmtId="165" fontId="0" fillId="0" borderId="3" xfId="0" applyNumberFormat="1" applyBorder="1"/>
    <xf numFmtId="0" fontId="5" fillId="2" borderId="7" xfId="0" applyFont="1" applyFill="1" applyBorder="1"/>
    <xf numFmtId="165" fontId="0" fillId="0" borderId="8" xfId="0" applyNumberFormat="1" applyBorder="1"/>
    <xf numFmtId="165" fontId="0" fillId="0" borderId="9" xfId="0" applyNumberFormat="1" applyBorder="1"/>
    <xf numFmtId="165" fontId="0" fillId="0" borderId="0" xfId="0" applyNumberFormat="1"/>
    <xf numFmtId="0" fontId="3" fillId="0" borderId="1" xfId="0" applyFont="1" applyBorder="1"/>
    <xf numFmtId="0" fontId="3" fillId="0" borderId="30" xfId="0" applyFont="1" applyBorder="1"/>
    <xf numFmtId="0" fontId="0" fillId="0" borderId="2" xfId="0" applyBorder="1"/>
    <xf numFmtId="164" fontId="3" fillId="0" borderId="3" xfId="0" applyNumberFormat="1" applyFont="1" applyBorder="1"/>
    <xf numFmtId="0" fontId="3" fillId="0" borderId="7" xfId="0" applyFont="1" applyBorder="1"/>
    <xf numFmtId="0" fontId="0" fillId="0" borderId="8" xfId="0" applyBorder="1"/>
    <xf numFmtId="9" fontId="3" fillId="0" borderId="9" xfId="0" applyNumberFormat="1" applyFont="1" applyBorder="1"/>
    <xf numFmtId="0" fontId="3" fillId="3" borderId="45" xfId="0" applyFont="1" applyFill="1" applyBorder="1"/>
    <xf numFmtId="0" fontId="5" fillId="3" borderId="46" xfId="0" applyFont="1" applyFill="1" applyBorder="1" applyAlignment="1">
      <alignment horizontal="center"/>
    </xf>
    <xf numFmtId="0" fontId="0" fillId="0" borderId="23" xfId="0" applyBorder="1"/>
    <xf numFmtId="0" fontId="0" fillId="0" borderId="25" xfId="0" applyBorder="1"/>
    <xf numFmtId="0" fontId="4" fillId="0" borderId="47" xfId="0" applyFont="1" applyBorder="1"/>
    <xf numFmtId="0" fontId="0" fillId="0" borderId="48" xfId="0" applyBorder="1"/>
    <xf numFmtId="0" fontId="3" fillId="0" borderId="49" xfId="0" applyFont="1" applyBorder="1"/>
    <xf numFmtId="0" fontId="3" fillId="0" borderId="50" xfId="0" applyFont="1" applyBorder="1"/>
    <xf numFmtId="0" fontId="0" fillId="0" borderId="52" xfId="0" applyBorder="1"/>
    <xf numFmtId="0" fontId="0" fillId="0" borderId="53" xfId="0" applyBorder="1"/>
    <xf numFmtId="9" fontId="0" fillId="0" borderId="54" xfId="0" applyNumberFormat="1" applyBorder="1"/>
    <xf numFmtId="9" fontId="0" fillId="0" borderId="55" xfId="0" applyNumberFormat="1" applyBorder="1"/>
    <xf numFmtId="0" fontId="0" fillId="0" borderId="54" xfId="0" applyBorder="1"/>
    <xf numFmtId="0" fontId="0" fillId="0" borderId="55" xfId="0" applyBorder="1"/>
    <xf numFmtId="0" fontId="0" fillId="0" borderId="56" xfId="0" applyBorder="1"/>
    <xf numFmtId="0" fontId="0" fillId="0" borderId="57" xfId="0" applyBorder="1"/>
    <xf numFmtId="0" fontId="0" fillId="0" borderId="58" xfId="0" applyBorder="1"/>
    <xf numFmtId="0" fontId="0" fillId="0" borderId="59" xfId="0" applyBorder="1"/>
    <xf numFmtId="0" fontId="0" fillId="0" borderId="60" xfId="0" applyBorder="1" applyAlignment="1">
      <alignment wrapText="1"/>
    </xf>
    <xf numFmtId="0" fontId="0" fillId="0" borderId="41" xfId="0" applyBorder="1"/>
    <xf numFmtId="0" fontId="0" fillId="0" borderId="61" xfId="0" applyBorder="1"/>
    <xf numFmtId="0" fontId="0" fillId="0" borderId="62" xfId="0" applyBorder="1"/>
    <xf numFmtId="0" fontId="0" fillId="5" borderId="5" xfId="0" applyFill="1" applyBorder="1" applyAlignment="1">
      <alignment horizontal="left" vertical="center"/>
    </xf>
    <xf numFmtId="0" fontId="1" fillId="5" borderId="5" xfId="0" applyFont="1" applyFill="1" applyBorder="1" applyAlignment="1">
      <alignment horizontal="center" vertical="center"/>
    </xf>
    <xf numFmtId="0" fontId="6" fillId="5" borderId="12" xfId="0" applyFont="1" applyFill="1" applyBorder="1" applyAlignment="1">
      <alignment horizontal="center" vertical="center"/>
    </xf>
    <xf numFmtId="49" fontId="0" fillId="5" borderId="6" xfId="0" applyNumberFormat="1" applyFill="1" applyBorder="1" applyAlignment="1">
      <alignment horizontal="left" vertical="center" wrapText="1"/>
    </xf>
    <xf numFmtId="1" fontId="19" fillId="5" borderId="5" xfId="0" applyNumberFormat="1" applyFont="1" applyFill="1" applyBorder="1" applyAlignment="1">
      <alignment horizontal="center" vertical="center"/>
    </xf>
    <xf numFmtId="0" fontId="0" fillId="5" borderId="18" xfId="0" applyFill="1" applyBorder="1" applyAlignment="1">
      <alignment horizontal="center" vertical="center"/>
    </xf>
    <xf numFmtId="0" fontId="0" fillId="5" borderId="5" xfId="0" applyFill="1" applyBorder="1" applyAlignment="1">
      <alignment horizontal="center" vertical="center"/>
    </xf>
    <xf numFmtId="0" fontId="0" fillId="5" borderId="12" xfId="0" applyFill="1" applyBorder="1" applyAlignment="1">
      <alignment horizontal="center" vertical="center"/>
    </xf>
    <xf numFmtId="1" fontId="0" fillId="5" borderId="12" xfId="0" applyNumberFormat="1" applyFill="1" applyBorder="1" applyAlignment="1">
      <alignment horizontal="center" vertical="center"/>
    </xf>
    <xf numFmtId="165" fontId="0" fillId="5" borderId="6" xfId="0" applyNumberFormat="1" applyFill="1" applyBorder="1" applyAlignment="1">
      <alignment horizontal="right" vertical="center"/>
    </xf>
    <xf numFmtId="0" fontId="3" fillId="0" borderId="0" xfId="0" applyFont="1" applyAlignment="1">
      <alignment horizontal="right"/>
    </xf>
    <xf numFmtId="0" fontId="3" fillId="0" borderId="0" xfId="0" applyFont="1" applyAlignment="1">
      <alignment horizontal="right" vertical="center"/>
    </xf>
    <xf numFmtId="0" fontId="4" fillId="0" borderId="0" xfId="0" applyFont="1" applyAlignment="1">
      <alignment horizontal="left" vertical="center" wrapText="1"/>
    </xf>
    <xf numFmtId="0" fontId="3" fillId="0" borderId="40" xfId="0" applyFont="1" applyBorder="1" applyAlignment="1">
      <alignment horizontal="right"/>
    </xf>
    <xf numFmtId="0" fontId="15" fillId="0" borderId="0" xfId="0" applyFont="1" applyAlignment="1">
      <alignment horizontal="center"/>
    </xf>
    <xf numFmtId="49" fontId="15" fillId="0" borderId="0" xfId="0" applyNumberFormat="1" applyFont="1" applyAlignment="1">
      <alignment horizontal="center" vertical="center"/>
    </xf>
    <xf numFmtId="0" fontId="0" fillId="0" borderId="44" xfId="0" applyBorder="1" applyAlignment="1">
      <alignment horizontal="left" vertical="top" wrapText="1"/>
    </xf>
    <xf numFmtId="0" fontId="0" fillId="0" borderId="0" xfId="0" applyAlignment="1">
      <alignment horizontal="left" vertical="top" wrapText="1"/>
    </xf>
    <xf numFmtId="0" fontId="0" fillId="2" borderId="4" xfId="0" applyFill="1" applyBorder="1" applyAlignment="1">
      <alignment horizontal="center" vertical="center" textRotation="90"/>
    </xf>
    <xf numFmtId="0" fontId="0" fillId="2" borderId="7" xfId="0" applyFill="1" applyBorder="1" applyAlignment="1">
      <alignment horizontal="center" vertical="center" textRotation="90"/>
    </xf>
    <xf numFmtId="0" fontId="3" fillId="0" borderId="0" xfId="0" applyFont="1" applyAlignment="1">
      <alignment horizontal="right" vertical="center"/>
    </xf>
    <xf numFmtId="0" fontId="17" fillId="0" borderId="0" xfId="0" applyFont="1" applyAlignment="1">
      <alignment horizontal="right"/>
    </xf>
    <xf numFmtId="0" fontId="3" fillId="0" borderId="0" xfId="0" applyFont="1" applyAlignment="1">
      <alignment horizontal="right"/>
    </xf>
    <xf numFmtId="0" fontId="3" fillId="0" borderId="10" xfId="0" applyFont="1" applyBorder="1" applyAlignment="1">
      <alignment horizontal="right" vertical="center"/>
    </xf>
    <xf numFmtId="0" fontId="0" fillId="2" borderId="4" xfId="0" applyFill="1" applyBorder="1" applyAlignment="1">
      <alignment horizontal="center" vertical="center" textRotation="90" wrapText="1"/>
    </xf>
    <xf numFmtId="0" fontId="0" fillId="2" borderId="7" xfId="0" applyFill="1" applyBorder="1" applyAlignment="1">
      <alignment horizontal="center" vertical="center" textRotation="90" wrapText="1"/>
    </xf>
    <xf numFmtId="0" fontId="4" fillId="0" borderId="0" xfId="0" applyFont="1" applyAlignment="1">
      <alignment horizontal="left" vertical="center" wrapText="1"/>
    </xf>
    <xf numFmtId="0" fontId="0" fillId="2" borderId="30" xfId="0" applyFill="1" applyBorder="1" applyAlignment="1">
      <alignment horizontal="center" vertical="center" textRotation="90" wrapText="1"/>
    </xf>
    <xf numFmtId="0" fontId="0" fillId="2" borderId="51" xfId="0" applyFill="1" applyBorder="1" applyAlignment="1">
      <alignment horizontal="center" vertical="center" textRotation="90" wrapText="1"/>
    </xf>
    <xf numFmtId="0" fontId="0" fillId="2" borderId="23" xfId="0" applyFill="1" applyBorder="1" applyAlignment="1">
      <alignment horizontal="center" vertical="center" textRotation="90" wrapText="1"/>
    </xf>
    <xf numFmtId="0" fontId="0" fillId="2" borderId="49" xfId="0" applyFill="1" applyBorder="1" applyAlignment="1">
      <alignment horizontal="center" vertical="center" textRotation="90" wrapText="1"/>
    </xf>
    <xf numFmtId="0" fontId="0" fillId="2" borderId="30" xfId="0" applyFill="1" applyBorder="1" applyAlignment="1">
      <alignment horizontal="center" vertical="center" textRotation="90"/>
    </xf>
    <xf numFmtId="0" fontId="0" fillId="2" borderId="51" xfId="0" applyFill="1" applyBorder="1" applyAlignment="1">
      <alignment horizontal="center" vertical="center" textRotation="90"/>
    </xf>
    <xf numFmtId="0" fontId="0" fillId="2" borderId="23" xfId="0" applyFill="1" applyBorder="1" applyAlignment="1">
      <alignment horizontal="center" vertical="center" textRotation="90"/>
    </xf>
    <xf numFmtId="0" fontId="0" fillId="2" borderId="1" xfId="0" applyFill="1" applyBorder="1" applyAlignment="1">
      <alignment horizontal="center" vertical="center" textRotation="90" wrapText="1"/>
    </xf>
    <xf numFmtId="0" fontId="11" fillId="0" borderId="0" xfId="0" applyFont="1" applyAlignment="1">
      <alignment horizontal="center"/>
    </xf>
    <xf numFmtId="165" fontId="3" fillId="0" borderId="10" xfId="0" applyNumberFormat="1" applyFont="1" applyBorder="1" applyAlignment="1">
      <alignment horizontal="right"/>
    </xf>
    <xf numFmtId="0" fontId="0" fillId="2" borderId="1" xfId="0" applyFill="1" applyBorder="1" applyAlignment="1">
      <alignment horizontal="center" vertical="center" textRotation="90"/>
    </xf>
    <xf numFmtId="0" fontId="15" fillId="0" borderId="0" xfId="0" applyFont="1" applyAlignment="1">
      <alignment horizontal="center" vertical="center"/>
    </xf>
    <xf numFmtId="0" fontId="7" fillId="0" borderId="1" xfId="1" applyFont="1" applyBorder="1" applyAlignment="1">
      <alignment horizontal="center" vertical="center" wrapText="1"/>
    </xf>
    <xf numFmtId="0" fontId="7" fillId="0" borderId="4" xfId="1" applyFont="1" applyBorder="1" applyAlignment="1">
      <alignment horizontal="center" vertical="center" wrapText="1"/>
    </xf>
    <xf numFmtId="0" fontId="7" fillId="0" borderId="7" xfId="1" applyFont="1" applyBorder="1" applyAlignment="1">
      <alignment horizontal="center" vertical="center" wrapText="1"/>
    </xf>
    <xf numFmtId="0" fontId="7" fillId="0" borderId="23" xfId="1" applyFont="1" applyBorder="1" applyAlignment="1">
      <alignment horizontal="center" vertical="center" wrapText="1"/>
    </xf>
    <xf numFmtId="0" fontId="7" fillId="0" borderId="30" xfId="1" applyFont="1" applyBorder="1" applyAlignment="1">
      <alignment horizontal="center" vertical="center" wrapText="1"/>
    </xf>
    <xf numFmtId="0" fontId="0" fillId="0" borderId="44" xfId="0" applyBorder="1" applyAlignment="1">
      <alignment horizontal="center" vertical="center"/>
    </xf>
  </cellXfs>
  <cellStyles count="2">
    <cellStyle name="Normal" xfId="0" builtinId="0"/>
    <cellStyle name="Normální 2" xfId="1" xr:uid="{00000000-0005-0000-0000-000001000000}"/>
  </cellStyles>
  <dxfs count="16">
    <dxf>
      <font>
        <b/>
        <i val="0"/>
        <strike val="0"/>
        <color rgb="FFC00000"/>
      </font>
      <numFmt numFmtId="30" formatCode="@"/>
      <fill>
        <patternFill>
          <bgColor rgb="FFFFFF00"/>
        </patternFill>
      </fill>
    </dxf>
    <dxf>
      <font>
        <b val="0"/>
        <i val="0"/>
        <strike val="0"/>
        <color theme="0"/>
      </font>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strike val="0"/>
        <color rgb="FFC00000"/>
      </font>
      <numFmt numFmtId="30" formatCode="@"/>
      <fill>
        <patternFill>
          <bgColor rgb="FFFFFF00"/>
        </patternFill>
      </fill>
    </dxf>
    <dxf>
      <font>
        <b val="0"/>
        <i val="0"/>
        <strike val="0"/>
        <color theme="0"/>
      </font>
    </dxf>
    <dxf>
      <font>
        <b/>
        <i val="0"/>
        <strike val="0"/>
        <color rgb="FFC00000"/>
      </font>
      <numFmt numFmtId="30" formatCode="@"/>
      <fill>
        <patternFill>
          <bgColor rgb="FFFFFF00"/>
        </patternFill>
      </fill>
    </dxf>
    <dxf>
      <font>
        <b val="0"/>
        <i val="0"/>
        <strike val="0"/>
        <color theme="0"/>
      </font>
    </dxf>
    <dxf>
      <font>
        <b/>
        <i val="0"/>
        <strike val="0"/>
        <color rgb="FFC00000"/>
      </font>
      <numFmt numFmtId="30" formatCode="@"/>
      <fill>
        <patternFill>
          <bgColor rgb="FFFFFF00"/>
        </patternFill>
      </fill>
    </dxf>
    <dxf>
      <font>
        <b val="0"/>
        <i val="0"/>
        <strike val="0"/>
        <color theme="0"/>
      </font>
    </dxf>
    <dxf>
      <font>
        <b/>
        <i val="0"/>
        <strike val="0"/>
        <color rgb="FFC00000"/>
      </font>
      <numFmt numFmtId="30" formatCode="@"/>
      <fill>
        <patternFill>
          <bgColor rgb="FFFFFF00"/>
        </patternFill>
      </fill>
    </dxf>
    <dxf>
      <font>
        <b val="0"/>
        <i val="0"/>
        <strike val="0"/>
        <color theme="0"/>
      </font>
    </dxf>
    <dxf>
      <font>
        <b/>
        <i val="0"/>
        <strike val="0"/>
        <color rgb="FFC00000"/>
      </font>
      <numFmt numFmtId="30" formatCode="@"/>
      <fill>
        <patternFill>
          <bgColor rgb="FFFFFF00"/>
        </patternFill>
      </fill>
    </dxf>
    <dxf>
      <font>
        <b val="0"/>
        <i val="0"/>
        <strike val="0"/>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01a0fa691d892b64/&#1044;&#1086;&#1082;&#1091;&#1084;&#1077;&#1085;&#1090;&#1099;/INS/0730-CENIK-AUTA-2026-04-16.xlsx" TargetMode="External"/><Relationship Id="rId1" Type="http://schemas.openxmlformats.org/officeDocument/2006/relationships/externalLinkPath" Target="0730-CENIK-AUTA-2026-04-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01A0FA691D892B64" itemId="1A0FA691D892B64!sd413f451429d484d8691e94abbffaa43">
      <xxl21:absoluteUrl r:id="rId2"/>
    </xxl21:alternateUrls>
    <sheetNames>
      <sheetName val="Licence - obecně"/>
      <sheetName val="Licence - moduly"/>
      <sheetName val="Ceník prací"/>
      <sheetName val="Moduly - práce celkem"/>
      <sheetName val="Moduly - práce etapy"/>
      <sheetName val="Obvyklý průběh implementace"/>
      <sheetName val="Celkem za implementaci"/>
      <sheetName val="Finanční analýza"/>
    </sheetNames>
    <sheetDataSet>
      <sheetData sheetId="0"/>
      <sheetData sheetId="1">
        <row r="4">
          <cell r="G4">
            <v>1</v>
          </cell>
        </row>
        <row r="5">
          <cell r="G5">
            <v>1</v>
          </cell>
        </row>
        <row r="6">
          <cell r="G6">
            <v>0</v>
          </cell>
        </row>
        <row r="7">
          <cell r="G7">
            <v>1</v>
          </cell>
        </row>
        <row r="8">
          <cell r="G8">
            <v>0</v>
          </cell>
        </row>
        <row r="9">
          <cell r="G9">
            <v>1</v>
          </cell>
        </row>
        <row r="10">
          <cell r="G10">
            <v>1</v>
          </cell>
        </row>
        <row r="11">
          <cell r="G11">
            <v>1</v>
          </cell>
        </row>
        <row r="12">
          <cell r="G12">
            <v>1</v>
          </cell>
        </row>
        <row r="13">
          <cell r="G13">
            <v>0</v>
          </cell>
        </row>
        <row r="14">
          <cell r="G14">
            <v>1</v>
          </cell>
        </row>
        <row r="15">
          <cell r="G15">
            <v>1</v>
          </cell>
        </row>
        <row r="17">
          <cell r="G17">
            <v>1</v>
          </cell>
        </row>
        <row r="18">
          <cell r="G18">
            <v>0</v>
          </cell>
        </row>
        <row r="19">
          <cell r="G19">
            <v>0</v>
          </cell>
        </row>
        <row r="20">
          <cell r="G20">
            <v>0</v>
          </cell>
        </row>
        <row r="24">
          <cell r="G24">
            <v>1</v>
          </cell>
        </row>
        <row r="26">
          <cell r="G26">
            <v>1</v>
          </cell>
        </row>
        <row r="29">
          <cell r="G29">
            <v>1</v>
          </cell>
        </row>
        <row r="32">
          <cell r="G32">
            <v>1</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Motiv Office">
  <a:themeElements>
    <a:clrScheme name="Kancelář">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celář">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25"/>
  <sheetViews>
    <sheetView workbookViewId="0">
      <selection activeCell="A2" sqref="A2:B2"/>
    </sheetView>
  </sheetViews>
  <sheetFormatPr defaultRowHeight="14.45"/>
  <cols>
    <col min="1" max="1" width="3" customWidth="1"/>
    <col min="2" max="2" width="148.42578125" customWidth="1"/>
  </cols>
  <sheetData>
    <row r="1" spans="1:15" ht="22.15" customHeight="1">
      <c r="A1" s="311" t="s">
        <v>0</v>
      </c>
      <c r="B1" s="311"/>
      <c r="C1" s="223"/>
      <c r="D1" s="223"/>
      <c r="E1" s="223"/>
      <c r="F1" s="223"/>
      <c r="G1" s="223"/>
      <c r="H1" s="223"/>
      <c r="I1" s="223"/>
      <c r="J1" s="223"/>
      <c r="K1" s="223"/>
      <c r="L1" s="223"/>
      <c r="M1" s="223"/>
      <c r="N1" s="223"/>
      <c r="O1" s="223"/>
    </row>
    <row r="2" spans="1:15" ht="14.65" customHeight="1">
      <c r="A2" s="311"/>
      <c r="B2" s="311"/>
      <c r="C2" s="223"/>
      <c r="D2" s="223"/>
      <c r="E2" s="223"/>
      <c r="F2" s="223"/>
      <c r="G2" s="223"/>
      <c r="H2" s="223"/>
      <c r="I2" s="223"/>
      <c r="J2" s="223"/>
      <c r="K2" s="223"/>
      <c r="L2" s="223"/>
      <c r="M2" s="223"/>
      <c r="N2" s="223"/>
      <c r="O2" s="223"/>
    </row>
    <row r="3" spans="1:15">
      <c r="A3" s="101" t="s">
        <v>1</v>
      </c>
      <c r="B3" s="224" t="s">
        <v>2</v>
      </c>
    </row>
    <row r="4" spans="1:15">
      <c r="A4" s="101" t="s">
        <v>3</v>
      </c>
      <c r="B4" s="225" t="s">
        <v>4</v>
      </c>
    </row>
    <row r="5" spans="1:15">
      <c r="A5" s="101" t="s">
        <v>5</v>
      </c>
      <c r="B5" s="225" t="s">
        <v>6</v>
      </c>
    </row>
    <row r="6" spans="1:15">
      <c r="A6" s="101" t="s">
        <v>7</v>
      </c>
      <c r="B6" s="225" t="s">
        <v>8</v>
      </c>
    </row>
    <row r="7" spans="1:15" ht="28.9">
      <c r="A7" s="101" t="s">
        <v>9</v>
      </c>
      <c r="B7" s="225" t="s">
        <v>10</v>
      </c>
    </row>
    <row r="8" spans="1:15" ht="28.9">
      <c r="A8" s="101" t="s">
        <v>11</v>
      </c>
      <c r="B8" s="225" t="s">
        <v>12</v>
      </c>
    </row>
    <row r="9" spans="1:15">
      <c r="A9" s="101" t="s">
        <v>13</v>
      </c>
      <c r="B9" s="225" t="s">
        <v>14</v>
      </c>
    </row>
    <row r="10" spans="1:15">
      <c r="A10" s="101" t="s">
        <v>15</v>
      </c>
      <c r="B10" s="225" t="s">
        <v>16</v>
      </c>
    </row>
    <row r="11" spans="1:15">
      <c r="A11" s="101" t="s">
        <v>17</v>
      </c>
      <c r="B11" s="225" t="s">
        <v>18</v>
      </c>
    </row>
    <row r="12" spans="1:15">
      <c r="A12" s="101" t="s">
        <v>19</v>
      </c>
      <c r="B12" s="225" t="s">
        <v>20</v>
      </c>
    </row>
    <row r="13" spans="1:15">
      <c r="A13" s="101" t="s">
        <v>21</v>
      </c>
      <c r="B13" s="225" t="s">
        <v>22</v>
      </c>
    </row>
    <row r="14" spans="1:15">
      <c r="A14" s="101" t="s">
        <v>23</v>
      </c>
      <c r="B14" s="225" t="s">
        <v>24</v>
      </c>
    </row>
    <row r="15" spans="1:15">
      <c r="A15" s="101" t="s">
        <v>25</v>
      </c>
      <c r="B15" s="225" t="s">
        <v>26</v>
      </c>
    </row>
    <row r="16" spans="1:15" ht="28.9">
      <c r="A16" s="101" t="s">
        <v>27</v>
      </c>
      <c r="B16" s="225" t="s">
        <v>28</v>
      </c>
    </row>
    <row r="17" spans="1:2" ht="28.9">
      <c r="A17" s="101" t="s">
        <v>29</v>
      </c>
      <c r="B17" s="225" t="s">
        <v>30</v>
      </c>
    </row>
    <row r="18" spans="1:2">
      <c r="A18" s="101" t="s">
        <v>31</v>
      </c>
      <c r="B18" s="225" t="s">
        <v>32</v>
      </c>
    </row>
    <row r="19" spans="1:2">
      <c r="A19" s="101" t="s">
        <v>33</v>
      </c>
      <c r="B19" s="225" t="s">
        <v>34</v>
      </c>
    </row>
    <row r="20" spans="1:2">
      <c r="A20" s="101" t="s">
        <v>35</v>
      </c>
      <c r="B20" s="225" t="s">
        <v>36</v>
      </c>
    </row>
    <row r="21" spans="1:2" ht="28.9">
      <c r="A21" s="101" t="s">
        <v>37</v>
      </c>
      <c r="B21" s="308" t="s">
        <v>38</v>
      </c>
    </row>
    <row r="22" spans="1:2">
      <c r="A22" s="101" t="s">
        <v>39</v>
      </c>
      <c r="B22" s="308" t="s">
        <v>40</v>
      </c>
    </row>
    <row r="23" spans="1:2" ht="28.9">
      <c r="A23" s="101" t="s">
        <v>41</v>
      </c>
      <c r="B23" s="308" t="s">
        <v>42</v>
      </c>
    </row>
    <row r="24" spans="1:2">
      <c r="A24" s="101" t="s">
        <v>43</v>
      </c>
      <c r="B24" s="308" t="s">
        <v>44</v>
      </c>
    </row>
    <row r="25" spans="1:2" ht="28.9">
      <c r="A25" s="101" t="s">
        <v>45</v>
      </c>
      <c r="B25" s="243" t="s">
        <v>46</v>
      </c>
    </row>
  </sheetData>
  <mergeCells count="2">
    <mergeCell ref="A1:B1"/>
    <mergeCell ref="A2:B2"/>
  </mergeCells>
  <pageMargins left="0.7" right="0.7" top="0.78740157499999996" bottom="0.78740157499999996" header="0.3" footer="0.3"/>
  <pageSetup paperSize="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2"/>
  <sheetViews>
    <sheetView topLeftCell="A35" zoomScale="55" zoomScaleNormal="55" workbookViewId="0">
      <selection activeCell="N39" sqref="N39"/>
    </sheetView>
  </sheetViews>
  <sheetFormatPr defaultRowHeight="14.45"/>
  <cols>
    <col min="2" max="2" width="20.5703125" customWidth="1"/>
    <col min="3" max="3" width="13.5703125" customWidth="1"/>
    <col min="4" max="4" width="11.42578125" customWidth="1"/>
    <col min="5" max="5" width="22.7109375" customWidth="1"/>
    <col min="6" max="6" width="36.42578125" customWidth="1"/>
    <col min="8" max="8" width="18.140625" customWidth="1"/>
    <col min="9" max="9" width="39.28515625" customWidth="1"/>
    <col min="10" max="10" width="43.28515625" customWidth="1"/>
  </cols>
  <sheetData>
    <row r="1" spans="1:9" ht="18">
      <c r="A1" s="310" t="s">
        <v>47</v>
      </c>
      <c r="B1" s="310"/>
      <c r="C1" s="310"/>
      <c r="D1" s="310"/>
      <c r="E1" s="310"/>
      <c r="F1" s="310"/>
      <c r="G1" s="310"/>
      <c r="H1" s="310"/>
    </row>
    <row r="2" spans="1:9" ht="15" thickBot="1"/>
    <row r="3" spans="1:9" ht="33" customHeight="1" thickTop="1">
      <c r="A3" s="2"/>
      <c r="B3" s="22" t="s">
        <v>48</v>
      </c>
      <c r="C3" s="22" t="s">
        <v>49</v>
      </c>
      <c r="D3" s="23" t="s">
        <v>50</v>
      </c>
      <c r="E3" s="26" t="s">
        <v>51</v>
      </c>
      <c r="F3" s="22" t="s">
        <v>52</v>
      </c>
      <c r="G3" s="22" t="s">
        <v>53</v>
      </c>
      <c r="H3" s="28" t="s">
        <v>50</v>
      </c>
      <c r="I3" s="41" t="s">
        <v>54</v>
      </c>
    </row>
    <row r="4" spans="1:9" ht="39" customHeight="1">
      <c r="A4" s="314" t="s">
        <v>55</v>
      </c>
      <c r="B4" s="129" t="s">
        <v>56</v>
      </c>
      <c r="C4" s="3" t="s">
        <v>57</v>
      </c>
      <c r="D4" s="117">
        <v>50000</v>
      </c>
      <c r="E4" s="118"/>
      <c r="F4" s="119"/>
      <c r="G4" s="120">
        <v>1</v>
      </c>
      <c r="H4" s="121">
        <f t="shared" ref="H4:H32" si="0">D4*G4</f>
        <v>50000</v>
      </c>
    </row>
    <row r="5" spans="1:9" ht="39" customHeight="1">
      <c r="A5" s="314"/>
      <c r="B5" s="129" t="s">
        <v>58</v>
      </c>
      <c r="C5" s="3" t="s">
        <v>57</v>
      </c>
      <c r="D5" s="117">
        <v>0</v>
      </c>
      <c r="E5" s="118"/>
      <c r="F5" s="119"/>
      <c r="G5" s="120">
        <v>1</v>
      </c>
      <c r="H5" s="121">
        <f t="shared" si="0"/>
        <v>0</v>
      </c>
    </row>
    <row r="6" spans="1:9" ht="39" customHeight="1">
      <c r="A6" s="314"/>
      <c r="B6" s="9" t="s">
        <v>59</v>
      </c>
      <c r="C6" s="4" t="s">
        <v>60</v>
      </c>
      <c r="D6" s="19">
        <v>5000</v>
      </c>
      <c r="E6" s="24"/>
      <c r="F6" s="25"/>
      <c r="G6" s="21">
        <v>0</v>
      </c>
      <c r="H6" s="7">
        <f t="shared" si="0"/>
        <v>0</v>
      </c>
      <c r="I6" s="130" t="s">
        <v>61</v>
      </c>
    </row>
    <row r="7" spans="1:9" ht="39" customHeight="1">
      <c r="A7" s="314"/>
      <c r="B7" s="129" t="s">
        <v>62</v>
      </c>
      <c r="C7" s="3" t="s">
        <v>57</v>
      </c>
      <c r="D7" s="117">
        <v>0</v>
      </c>
      <c r="E7" s="118"/>
      <c r="F7" s="119"/>
      <c r="G7" s="120">
        <v>1</v>
      </c>
      <c r="H7" s="121">
        <f t="shared" si="0"/>
        <v>0</v>
      </c>
    </row>
    <row r="8" spans="1:9" ht="39" customHeight="1">
      <c r="A8" s="314"/>
      <c r="B8" s="9" t="s">
        <v>63</v>
      </c>
      <c r="C8" s="4" t="s">
        <v>60</v>
      </c>
      <c r="D8" s="19">
        <v>5000</v>
      </c>
      <c r="E8" s="24" t="s">
        <v>64</v>
      </c>
      <c r="F8" s="25"/>
      <c r="G8" s="21">
        <v>0</v>
      </c>
      <c r="H8" s="7">
        <f t="shared" si="0"/>
        <v>0</v>
      </c>
    </row>
    <row r="9" spans="1:9" ht="39" customHeight="1">
      <c r="A9" s="314" t="s">
        <v>65</v>
      </c>
      <c r="B9" s="129" t="s">
        <v>66</v>
      </c>
      <c r="C9" s="3" t="s">
        <v>57</v>
      </c>
      <c r="D9" s="117">
        <v>0</v>
      </c>
      <c r="E9" s="118"/>
      <c r="F9" s="119"/>
      <c r="G9" s="120">
        <v>1</v>
      </c>
      <c r="H9" s="121">
        <f t="shared" si="0"/>
        <v>0</v>
      </c>
    </row>
    <row r="10" spans="1:9" ht="39" customHeight="1">
      <c r="A10" s="314"/>
      <c r="B10" s="129" t="s">
        <v>67</v>
      </c>
      <c r="C10" s="3" t="s">
        <v>57</v>
      </c>
      <c r="D10" s="117">
        <v>0</v>
      </c>
      <c r="E10" s="118"/>
      <c r="F10" s="119"/>
      <c r="G10" s="120">
        <v>1</v>
      </c>
      <c r="H10" s="121">
        <f t="shared" si="0"/>
        <v>0</v>
      </c>
    </row>
    <row r="11" spans="1:9" ht="39" customHeight="1">
      <c r="A11" s="314"/>
      <c r="B11" s="9" t="s">
        <v>68</v>
      </c>
      <c r="C11" s="4" t="s">
        <v>60</v>
      </c>
      <c r="D11" s="19">
        <v>20000</v>
      </c>
      <c r="E11" s="24"/>
      <c r="F11" s="25"/>
      <c r="G11" s="21">
        <v>1</v>
      </c>
      <c r="H11" s="7">
        <f t="shared" si="0"/>
        <v>20000</v>
      </c>
    </row>
    <row r="12" spans="1:9" ht="39" customHeight="1">
      <c r="A12" s="314"/>
      <c r="B12" s="129" t="s">
        <v>69</v>
      </c>
      <c r="C12" s="3" t="s">
        <v>57</v>
      </c>
      <c r="D12" s="117">
        <v>0</v>
      </c>
      <c r="E12" s="118"/>
      <c r="F12" s="119"/>
      <c r="G12" s="120">
        <v>1</v>
      </c>
      <c r="H12" s="121">
        <f t="shared" si="0"/>
        <v>0</v>
      </c>
    </row>
    <row r="13" spans="1:9" ht="39" customHeight="1">
      <c r="A13" s="314"/>
      <c r="B13" s="9" t="s">
        <v>70</v>
      </c>
      <c r="C13" s="4" t="s">
        <v>60</v>
      </c>
      <c r="D13" s="19">
        <v>15000</v>
      </c>
      <c r="E13" s="24" t="s">
        <v>71</v>
      </c>
      <c r="F13" s="25"/>
      <c r="G13" s="21">
        <v>0</v>
      </c>
      <c r="H13" s="7">
        <f t="shared" si="0"/>
        <v>0</v>
      </c>
    </row>
    <row r="14" spans="1:9" ht="45.75" customHeight="1">
      <c r="A14" s="320" t="s">
        <v>72</v>
      </c>
      <c r="B14" s="129" t="s">
        <v>73</v>
      </c>
      <c r="C14" s="3" t="s">
        <v>57</v>
      </c>
      <c r="D14" s="117">
        <v>0</v>
      </c>
      <c r="E14" s="118"/>
      <c r="F14" s="119" t="s">
        <v>74</v>
      </c>
      <c r="G14" s="120">
        <v>1</v>
      </c>
      <c r="H14" s="121">
        <f t="shared" si="0"/>
        <v>0</v>
      </c>
    </row>
    <row r="15" spans="1:9" ht="39" customHeight="1">
      <c r="A15" s="320"/>
      <c r="B15" s="129" t="s">
        <v>75</v>
      </c>
      <c r="C15" s="3" t="s">
        <v>57</v>
      </c>
      <c r="D15" s="117">
        <v>0</v>
      </c>
      <c r="E15" s="118"/>
      <c r="F15" s="119"/>
      <c r="G15" s="120">
        <v>1</v>
      </c>
      <c r="H15" s="121">
        <f t="shared" si="0"/>
        <v>0</v>
      </c>
    </row>
    <row r="16" spans="1:9" ht="39" customHeight="1">
      <c r="A16" s="320"/>
      <c r="B16" s="9" t="s">
        <v>76</v>
      </c>
      <c r="C16" s="4" t="s">
        <v>60</v>
      </c>
      <c r="D16" s="19">
        <v>5000</v>
      </c>
      <c r="E16" s="24"/>
      <c r="F16" s="25"/>
      <c r="G16" s="21">
        <v>1</v>
      </c>
      <c r="H16" s="7">
        <f t="shared" si="0"/>
        <v>5000</v>
      </c>
    </row>
    <row r="17" spans="1:9" ht="39" customHeight="1">
      <c r="A17" s="320" t="s">
        <v>77</v>
      </c>
      <c r="B17" s="129" t="s">
        <v>78</v>
      </c>
      <c r="C17" s="3" t="s">
        <v>57</v>
      </c>
      <c r="D17" s="117">
        <v>0</v>
      </c>
      <c r="E17" s="118"/>
      <c r="F17" s="119"/>
      <c r="G17" s="120">
        <v>1</v>
      </c>
      <c r="H17" s="121">
        <f t="shared" si="0"/>
        <v>0</v>
      </c>
    </row>
    <row r="18" spans="1:9" ht="39" customHeight="1">
      <c r="A18" s="320"/>
      <c r="B18" s="9" t="s">
        <v>79</v>
      </c>
      <c r="C18" s="4" t="s">
        <v>60</v>
      </c>
      <c r="D18" s="19">
        <v>15000</v>
      </c>
      <c r="E18" s="24" t="s">
        <v>80</v>
      </c>
      <c r="F18" s="25"/>
      <c r="G18" s="21">
        <v>0</v>
      </c>
      <c r="H18" s="7">
        <f t="shared" si="0"/>
        <v>0</v>
      </c>
    </row>
    <row r="19" spans="1:9" ht="39" customHeight="1">
      <c r="A19" s="320"/>
      <c r="B19" s="9" t="s">
        <v>81</v>
      </c>
      <c r="C19" s="4" t="s">
        <v>60</v>
      </c>
      <c r="D19" s="19">
        <v>15000</v>
      </c>
      <c r="E19" s="24"/>
      <c r="F19" s="25"/>
      <c r="G19" s="21">
        <v>0</v>
      </c>
      <c r="H19" s="7">
        <f t="shared" si="0"/>
        <v>0</v>
      </c>
      <c r="I19" s="130" t="s">
        <v>82</v>
      </c>
    </row>
    <row r="20" spans="1:9" ht="39" customHeight="1">
      <c r="A20" s="320" t="s">
        <v>83</v>
      </c>
      <c r="B20" s="9" t="s">
        <v>84</v>
      </c>
      <c r="C20" s="4" t="s">
        <v>60</v>
      </c>
      <c r="D20" s="19">
        <v>15000</v>
      </c>
      <c r="E20" s="24"/>
      <c r="F20" s="25"/>
      <c r="G20" s="21">
        <v>0</v>
      </c>
      <c r="H20" s="7">
        <f t="shared" si="0"/>
        <v>0</v>
      </c>
    </row>
    <row r="21" spans="1:9" ht="39" customHeight="1">
      <c r="A21" s="320"/>
      <c r="B21" s="9" t="s">
        <v>85</v>
      </c>
      <c r="C21" s="4" t="s">
        <v>60</v>
      </c>
      <c r="D21" s="19">
        <v>20000</v>
      </c>
      <c r="E21" s="24"/>
      <c r="F21" s="25"/>
      <c r="G21" s="21">
        <v>0</v>
      </c>
      <c r="H21" s="7">
        <f t="shared" si="0"/>
        <v>0</v>
      </c>
    </row>
    <row r="22" spans="1:9" ht="39" customHeight="1">
      <c r="A22" s="320"/>
      <c r="B22" s="9" t="s">
        <v>86</v>
      </c>
      <c r="C22" s="4" t="s">
        <v>60</v>
      </c>
      <c r="D22" s="19">
        <v>20000</v>
      </c>
      <c r="E22" s="24"/>
      <c r="F22" s="25"/>
      <c r="G22" s="21">
        <v>1</v>
      </c>
      <c r="H22" s="7">
        <f t="shared" si="0"/>
        <v>20000</v>
      </c>
    </row>
    <row r="23" spans="1:9" ht="50.25" customHeight="1">
      <c r="A23" s="320"/>
      <c r="B23" s="9" t="s">
        <v>87</v>
      </c>
      <c r="C23" s="4" t="s">
        <v>60</v>
      </c>
      <c r="D23" s="19">
        <v>10000</v>
      </c>
      <c r="E23" s="24"/>
      <c r="F23" s="25" t="s">
        <v>88</v>
      </c>
      <c r="G23" s="21">
        <v>1</v>
      </c>
      <c r="H23" s="7">
        <f t="shared" si="0"/>
        <v>10000</v>
      </c>
    </row>
    <row r="24" spans="1:9" ht="39" customHeight="1">
      <c r="A24" s="320" t="s">
        <v>89</v>
      </c>
      <c r="B24" s="9" t="s">
        <v>90</v>
      </c>
      <c r="C24" s="4" t="s">
        <v>60</v>
      </c>
      <c r="D24" s="19">
        <v>10000</v>
      </c>
      <c r="E24" s="24"/>
      <c r="F24" s="25"/>
      <c r="G24" s="21">
        <v>1</v>
      </c>
      <c r="H24" s="7">
        <f t="shared" si="0"/>
        <v>10000</v>
      </c>
    </row>
    <row r="25" spans="1:9" ht="39" customHeight="1">
      <c r="A25" s="320"/>
      <c r="B25" s="9" t="s">
        <v>91</v>
      </c>
      <c r="C25" s="4" t="s">
        <v>60</v>
      </c>
      <c r="D25" s="19">
        <v>10000</v>
      </c>
      <c r="E25" s="24"/>
      <c r="F25" s="25"/>
      <c r="G25" s="21">
        <v>1</v>
      </c>
      <c r="H25" s="7">
        <f t="shared" si="0"/>
        <v>10000</v>
      </c>
    </row>
    <row r="26" spans="1:9" ht="39" customHeight="1">
      <c r="A26" s="320"/>
      <c r="B26" s="9" t="s">
        <v>92</v>
      </c>
      <c r="C26" s="4" t="s">
        <v>60</v>
      </c>
      <c r="D26" s="19">
        <v>10000</v>
      </c>
      <c r="E26" s="24"/>
      <c r="F26" s="25"/>
      <c r="G26" s="21">
        <v>1</v>
      </c>
      <c r="H26" s="7">
        <f t="shared" si="0"/>
        <v>10000</v>
      </c>
    </row>
    <row r="27" spans="1:9" ht="39" customHeight="1">
      <c r="A27" s="320" t="s">
        <v>93</v>
      </c>
      <c r="B27" s="9" t="s">
        <v>94</v>
      </c>
      <c r="C27" s="4" t="s">
        <v>60</v>
      </c>
      <c r="D27" s="19">
        <v>50000</v>
      </c>
      <c r="E27" s="24"/>
      <c r="F27" s="25"/>
      <c r="G27" s="21">
        <v>1</v>
      </c>
      <c r="H27" s="7">
        <f t="shared" si="0"/>
        <v>50000</v>
      </c>
    </row>
    <row r="28" spans="1:9" ht="39" customHeight="1">
      <c r="A28" s="320"/>
      <c r="B28" s="9" t="s">
        <v>95</v>
      </c>
      <c r="C28" s="4" t="s">
        <v>60</v>
      </c>
      <c r="D28" s="19">
        <v>40000</v>
      </c>
      <c r="E28" s="24"/>
      <c r="F28" s="25" t="s">
        <v>96</v>
      </c>
      <c r="G28" s="21">
        <v>1</v>
      </c>
      <c r="H28" s="7">
        <f t="shared" si="0"/>
        <v>40000</v>
      </c>
      <c r="I28" s="130" t="s">
        <v>97</v>
      </c>
    </row>
    <row r="29" spans="1:9" ht="39" customHeight="1">
      <c r="A29" s="320"/>
      <c r="B29" s="129" t="s">
        <v>98</v>
      </c>
      <c r="C29" s="3" t="s">
        <v>57</v>
      </c>
      <c r="D29" s="117">
        <v>0</v>
      </c>
      <c r="E29" s="118"/>
      <c r="F29" s="119"/>
      <c r="G29" s="120">
        <v>1</v>
      </c>
      <c r="H29" s="121">
        <f t="shared" si="0"/>
        <v>0</v>
      </c>
    </row>
    <row r="30" spans="1:9" ht="39" customHeight="1">
      <c r="A30" s="320" t="s">
        <v>99</v>
      </c>
      <c r="B30" s="9" t="s">
        <v>100</v>
      </c>
      <c r="C30" s="4" t="s">
        <v>60</v>
      </c>
      <c r="D30" s="19">
        <v>40000</v>
      </c>
      <c r="E30" s="24"/>
      <c r="F30" s="25"/>
      <c r="G30" s="21">
        <v>1</v>
      </c>
      <c r="H30" s="7">
        <f t="shared" si="0"/>
        <v>40000</v>
      </c>
    </row>
    <row r="31" spans="1:9" ht="39" customHeight="1">
      <c r="A31" s="320"/>
      <c r="B31" s="9" t="s">
        <v>101</v>
      </c>
      <c r="C31" s="4" t="s">
        <v>60</v>
      </c>
      <c r="D31" s="19">
        <v>50000</v>
      </c>
      <c r="E31" s="24"/>
      <c r="F31" s="25" t="s">
        <v>102</v>
      </c>
      <c r="G31" s="21">
        <v>1</v>
      </c>
      <c r="H31" s="7">
        <f t="shared" si="0"/>
        <v>50000</v>
      </c>
    </row>
    <row r="32" spans="1:9" ht="39" customHeight="1" thickBot="1">
      <c r="A32" s="321"/>
      <c r="B32" s="123" t="s">
        <v>103</v>
      </c>
      <c r="C32" s="5" t="s">
        <v>57</v>
      </c>
      <c r="D32" s="124">
        <v>0</v>
      </c>
      <c r="E32" s="125"/>
      <c r="F32" s="126" t="s">
        <v>104</v>
      </c>
      <c r="G32" s="127">
        <v>1</v>
      </c>
      <c r="H32" s="128">
        <f t="shared" si="0"/>
        <v>0</v>
      </c>
    </row>
    <row r="33" spans="1:12" ht="15" thickTop="1">
      <c r="A33" s="12"/>
      <c r="B33" s="319" t="s">
        <v>105</v>
      </c>
      <c r="C33" s="319"/>
      <c r="D33" s="11">
        <f>SUM(D4:D32)</f>
        <v>405000</v>
      </c>
      <c r="F33" s="316" t="s">
        <v>106</v>
      </c>
      <c r="G33" s="316"/>
      <c r="H33" s="11">
        <f>SUM(H4:H32)</f>
        <v>315000</v>
      </c>
    </row>
    <row r="35" spans="1:12" ht="18.600000000000001" thickBot="1">
      <c r="A35" s="310" t="s">
        <v>107</v>
      </c>
      <c r="B35" s="310"/>
      <c r="C35" s="310"/>
      <c r="D35" s="310"/>
      <c r="E35" s="310"/>
      <c r="F35" s="310"/>
      <c r="G35" s="310"/>
      <c r="H35" s="310"/>
    </row>
    <row r="36" spans="1:12" ht="15" thickTop="1">
      <c r="A36" s="2"/>
      <c r="B36" s="22" t="s">
        <v>108</v>
      </c>
      <c r="C36" s="22" t="s">
        <v>49</v>
      </c>
      <c r="D36" s="23" t="s">
        <v>50</v>
      </c>
      <c r="E36" s="26"/>
      <c r="F36" s="22" t="s">
        <v>109</v>
      </c>
      <c r="G36" s="22" t="s">
        <v>53</v>
      </c>
      <c r="H36" s="28" t="s">
        <v>50</v>
      </c>
      <c r="K36" s="15"/>
      <c r="L36" s="1"/>
    </row>
    <row r="37" spans="1:12" ht="20.45" customHeight="1">
      <c r="A37" s="314" t="s">
        <v>108</v>
      </c>
      <c r="B37" s="13" t="s">
        <v>110</v>
      </c>
      <c r="C37" s="4" t="s">
        <v>60</v>
      </c>
      <c r="D37" s="19">
        <v>10000</v>
      </c>
      <c r="E37" s="24"/>
      <c r="F37" s="25"/>
      <c r="G37" s="21">
        <v>1</v>
      </c>
      <c r="H37" s="7">
        <f t="shared" ref="H37:H40" si="1">D37*G37</f>
        <v>10000</v>
      </c>
      <c r="K37" s="15"/>
      <c r="L37" s="1"/>
    </row>
    <row r="38" spans="1:12" ht="20.45">
      <c r="A38" s="314"/>
      <c r="B38" s="111" t="s">
        <v>111</v>
      </c>
      <c r="C38" s="4" t="s">
        <v>60</v>
      </c>
      <c r="D38" s="19">
        <v>10000</v>
      </c>
      <c r="E38" s="24"/>
      <c r="F38" s="25"/>
      <c r="G38" s="21">
        <v>1</v>
      </c>
      <c r="H38" s="7">
        <f t="shared" si="1"/>
        <v>10000</v>
      </c>
      <c r="K38" s="13"/>
      <c r="L38" s="1"/>
    </row>
    <row r="39" spans="1:12" ht="20.45">
      <c r="A39" s="314"/>
      <c r="B39" s="115" t="s">
        <v>112</v>
      </c>
      <c r="C39" s="3" t="s">
        <v>57</v>
      </c>
      <c r="D39" s="117">
        <v>0</v>
      </c>
      <c r="E39" s="118"/>
      <c r="F39" s="119"/>
      <c r="G39" s="120">
        <v>1</v>
      </c>
      <c r="H39" s="121">
        <f t="shared" si="1"/>
        <v>0</v>
      </c>
      <c r="K39" s="13"/>
      <c r="L39" s="1"/>
    </row>
    <row r="40" spans="1:12" ht="29.45" thickBot="1">
      <c r="A40" s="315"/>
      <c r="B40" s="10" t="s">
        <v>113</v>
      </c>
      <c r="C40" s="90" t="s">
        <v>60</v>
      </c>
      <c r="D40" s="20">
        <v>0</v>
      </c>
      <c r="E40" s="29"/>
      <c r="F40" s="30" t="s">
        <v>114</v>
      </c>
      <c r="G40" s="27">
        <f>G31</f>
        <v>1</v>
      </c>
      <c r="H40" s="8">
        <f t="shared" si="1"/>
        <v>0</v>
      </c>
      <c r="I40" s="130" t="s">
        <v>115</v>
      </c>
      <c r="K40" s="13"/>
      <c r="L40" s="1"/>
    </row>
    <row r="41" spans="1:12" ht="15" thickTop="1">
      <c r="B41" s="319" t="s">
        <v>116</v>
      </c>
      <c r="C41" s="319"/>
      <c r="D41" s="11">
        <f>SUM(D37:D40)</f>
        <v>20000</v>
      </c>
      <c r="F41" s="316" t="s">
        <v>117</v>
      </c>
      <c r="G41" s="316"/>
      <c r="H41" s="11">
        <f>SUM(H37:H40)</f>
        <v>20000</v>
      </c>
      <c r="K41" s="13"/>
      <c r="L41" s="1"/>
    </row>
    <row r="43" spans="1:12" ht="18.600000000000001" thickBot="1">
      <c r="A43" s="310" t="s">
        <v>118</v>
      </c>
      <c r="B43" s="310"/>
      <c r="C43" s="310"/>
      <c r="D43" s="310"/>
      <c r="E43" s="310"/>
      <c r="F43" s="310"/>
      <c r="G43" s="310"/>
      <c r="H43" s="310"/>
    </row>
    <row r="44" spans="1:12" ht="15" thickTop="1">
      <c r="A44" s="2"/>
      <c r="B44" s="22" t="s">
        <v>119</v>
      </c>
      <c r="C44" s="22" t="s">
        <v>49</v>
      </c>
      <c r="D44" s="23" t="s">
        <v>50</v>
      </c>
      <c r="E44" s="26"/>
      <c r="F44" s="22" t="s">
        <v>109</v>
      </c>
      <c r="G44" s="22" t="s">
        <v>53</v>
      </c>
      <c r="H44" s="28" t="s">
        <v>50</v>
      </c>
    </row>
    <row r="45" spans="1:12" ht="28.9" customHeight="1">
      <c r="A45" s="314" t="s">
        <v>119</v>
      </c>
      <c r="B45" s="112" t="s">
        <v>120</v>
      </c>
      <c r="C45" s="4" t="s">
        <v>60</v>
      </c>
      <c r="D45" s="19">
        <v>0</v>
      </c>
      <c r="E45" s="24"/>
      <c r="F45" s="25" t="s">
        <v>121</v>
      </c>
      <c r="G45" s="21">
        <f>G28</f>
        <v>1</v>
      </c>
      <c r="H45" s="7">
        <f t="shared" ref="H45:H49" si="2">D45*G45</f>
        <v>0</v>
      </c>
      <c r="I45" s="130" t="s">
        <v>122</v>
      </c>
    </row>
    <row r="46" spans="1:12" ht="20.45">
      <c r="A46" s="314"/>
      <c r="B46" s="113" t="s">
        <v>123</v>
      </c>
      <c r="C46" s="4" t="s">
        <v>60</v>
      </c>
      <c r="D46" s="19">
        <v>5000</v>
      </c>
      <c r="E46" s="24"/>
      <c r="F46" s="25"/>
      <c r="G46" s="21">
        <v>0</v>
      </c>
      <c r="H46" s="7">
        <f t="shared" si="2"/>
        <v>0</v>
      </c>
    </row>
    <row r="47" spans="1:12" ht="20.45">
      <c r="A47" s="314"/>
      <c r="B47" s="122" t="s">
        <v>124</v>
      </c>
      <c r="C47" s="3" t="s">
        <v>57</v>
      </c>
      <c r="D47" s="117">
        <v>0</v>
      </c>
      <c r="E47" s="118"/>
      <c r="F47" s="119"/>
      <c r="G47" s="120">
        <v>1</v>
      </c>
      <c r="H47" s="121">
        <f t="shared" si="2"/>
        <v>0</v>
      </c>
    </row>
    <row r="48" spans="1:12" ht="20.45">
      <c r="A48" s="314"/>
      <c r="B48" s="112" t="s">
        <v>125</v>
      </c>
      <c r="C48" s="4" t="s">
        <v>60</v>
      </c>
      <c r="D48" s="19">
        <v>5000</v>
      </c>
      <c r="E48" s="24"/>
      <c r="F48" s="25"/>
      <c r="G48" s="21">
        <v>1</v>
      </c>
      <c r="H48" s="7">
        <f t="shared" si="2"/>
        <v>5000</v>
      </c>
    </row>
    <row r="49" spans="1:10" ht="21" thickBot="1">
      <c r="A49" s="315"/>
      <c r="B49" s="10" t="s">
        <v>126</v>
      </c>
      <c r="C49" s="90" t="s">
        <v>60</v>
      </c>
      <c r="D49" s="20">
        <v>5000</v>
      </c>
      <c r="E49" s="29"/>
      <c r="F49" s="30"/>
      <c r="G49" s="27">
        <v>0</v>
      </c>
      <c r="H49" s="8">
        <f t="shared" si="2"/>
        <v>0</v>
      </c>
    </row>
    <row r="50" spans="1:10" ht="15" thickTop="1">
      <c r="B50" s="319" t="s">
        <v>127</v>
      </c>
      <c r="C50" s="319"/>
      <c r="D50" s="11">
        <f>SUM(D46:D49)</f>
        <v>15000</v>
      </c>
      <c r="F50" s="316" t="s">
        <v>128</v>
      </c>
      <c r="G50" s="316"/>
      <c r="H50" s="11">
        <f>SUM(H46:H49)</f>
        <v>5000</v>
      </c>
    </row>
    <row r="52" spans="1:10" ht="18.600000000000001" thickBot="1">
      <c r="A52" s="310" t="s">
        <v>129</v>
      </c>
      <c r="B52" s="310"/>
      <c r="C52" s="310"/>
      <c r="D52" s="310"/>
      <c r="E52" s="310"/>
      <c r="F52" s="310"/>
      <c r="G52" s="310"/>
      <c r="H52" s="310"/>
    </row>
    <row r="53" spans="1:10" ht="15" thickTop="1">
      <c r="A53" s="2"/>
      <c r="B53" s="22" t="s">
        <v>130</v>
      </c>
      <c r="C53" s="22" t="s">
        <v>49</v>
      </c>
      <c r="D53" s="23" t="s">
        <v>50</v>
      </c>
      <c r="E53" s="26"/>
      <c r="F53" s="22" t="s">
        <v>109</v>
      </c>
      <c r="G53" s="22" t="s">
        <v>53</v>
      </c>
      <c r="H53" s="28" t="s">
        <v>50</v>
      </c>
      <c r="I53" s="312" t="s">
        <v>131</v>
      </c>
      <c r="J53" s="313" t="s">
        <v>132</v>
      </c>
    </row>
    <row r="54" spans="1:10" ht="20.45" customHeight="1">
      <c r="A54" s="314" t="s">
        <v>133</v>
      </c>
      <c r="B54" s="116" t="s">
        <v>134</v>
      </c>
      <c r="C54" s="3" t="s">
        <v>57</v>
      </c>
      <c r="D54" s="117">
        <v>0</v>
      </c>
      <c r="E54" s="118"/>
      <c r="F54" s="119"/>
      <c r="G54" s="120">
        <v>1</v>
      </c>
      <c r="H54" s="121">
        <f t="shared" ref="H54:H58" si="3">D54*G54</f>
        <v>0</v>
      </c>
      <c r="I54" s="312"/>
      <c r="J54" s="313"/>
    </row>
    <row r="55" spans="1:10" ht="20.45">
      <c r="A55" s="314"/>
      <c r="B55" s="113" t="s">
        <v>135</v>
      </c>
      <c r="C55" s="4" t="s">
        <v>60</v>
      </c>
      <c r="D55" s="19">
        <v>10000</v>
      </c>
      <c r="E55" s="24"/>
      <c r="F55" s="25"/>
      <c r="G55" s="21">
        <v>0</v>
      </c>
      <c r="H55" s="7">
        <f t="shared" si="3"/>
        <v>0</v>
      </c>
      <c r="I55" s="312"/>
      <c r="J55" s="313"/>
    </row>
    <row r="56" spans="1:10" ht="20.45">
      <c r="A56" s="314"/>
      <c r="B56" s="113" t="s">
        <v>136</v>
      </c>
      <c r="C56" s="4" t="s">
        <v>60</v>
      </c>
      <c r="D56" s="19">
        <v>25000</v>
      </c>
      <c r="E56" s="24"/>
      <c r="F56" s="25"/>
      <c r="G56" s="21">
        <v>0</v>
      </c>
      <c r="H56" s="7">
        <f t="shared" si="3"/>
        <v>0</v>
      </c>
      <c r="I56" s="312"/>
      <c r="J56" s="313"/>
    </row>
    <row r="57" spans="1:10" ht="20.45">
      <c r="A57" s="314"/>
      <c r="B57" s="112" t="s">
        <v>137</v>
      </c>
      <c r="C57" s="4" t="s">
        <v>60</v>
      </c>
      <c r="D57" s="19">
        <v>40000</v>
      </c>
      <c r="E57" s="24"/>
      <c r="F57" s="25"/>
      <c r="G57" s="21">
        <v>0</v>
      </c>
      <c r="H57" s="7">
        <f t="shared" si="3"/>
        <v>0</v>
      </c>
      <c r="I57" s="312"/>
      <c r="J57" s="313"/>
    </row>
    <row r="58" spans="1:10" ht="21" thickBot="1">
      <c r="A58" s="315"/>
      <c r="B58" s="10" t="s">
        <v>138</v>
      </c>
      <c r="C58" s="90" t="s">
        <v>60</v>
      </c>
      <c r="D58" s="20">
        <v>70000</v>
      </c>
      <c r="E58" s="29"/>
      <c r="F58" s="30"/>
      <c r="G58" s="27">
        <v>15</v>
      </c>
      <c r="H58" s="8">
        <f t="shared" si="3"/>
        <v>1050000</v>
      </c>
      <c r="I58" s="312"/>
      <c r="J58" s="313"/>
    </row>
    <row r="59" spans="1:10" ht="15" thickTop="1">
      <c r="B59" s="114"/>
      <c r="C59" s="114"/>
      <c r="D59" s="11"/>
      <c r="F59" s="316" t="s">
        <v>139</v>
      </c>
      <c r="G59" s="316"/>
      <c r="H59" s="11">
        <f>SUM(H54:H58)</f>
        <v>1050000</v>
      </c>
    </row>
    <row r="61" spans="1:10" ht="15.6">
      <c r="F61" s="317" t="s">
        <v>140</v>
      </c>
      <c r="G61" s="317"/>
      <c r="H61" s="131">
        <f>H33+H41+H50+H59</f>
        <v>1390000</v>
      </c>
    </row>
    <row r="62" spans="1:10">
      <c r="F62" s="318" t="s">
        <v>141</v>
      </c>
      <c r="G62" s="318"/>
      <c r="H62" s="11">
        <f>H61*0.2</f>
        <v>278000</v>
      </c>
    </row>
  </sheetData>
  <mergeCells count="26">
    <mergeCell ref="A1:H1"/>
    <mergeCell ref="A35:H35"/>
    <mergeCell ref="A37:A40"/>
    <mergeCell ref="A43:H43"/>
    <mergeCell ref="A27:A29"/>
    <mergeCell ref="A30:A32"/>
    <mergeCell ref="A4:A8"/>
    <mergeCell ref="A9:A13"/>
    <mergeCell ref="A14:A16"/>
    <mergeCell ref="A17:A19"/>
    <mergeCell ref="A20:A23"/>
    <mergeCell ref="B41:C41"/>
    <mergeCell ref="F41:G41"/>
    <mergeCell ref="F33:G33"/>
    <mergeCell ref="B33:C33"/>
    <mergeCell ref="A24:A26"/>
    <mergeCell ref="F62:G62"/>
    <mergeCell ref="B50:C50"/>
    <mergeCell ref="F50:G50"/>
    <mergeCell ref="A52:H52"/>
    <mergeCell ref="A45:A49"/>
    <mergeCell ref="I53:I58"/>
    <mergeCell ref="J53:J58"/>
    <mergeCell ref="A54:A58"/>
    <mergeCell ref="F59:G59"/>
    <mergeCell ref="F61:G61"/>
  </mergeCells>
  <conditionalFormatting sqref="G4:G32">
    <cfRule type="iconSet" priority="12">
      <iconSet iconSet="3Symbols" showValue="0">
        <cfvo type="percent" val="0"/>
        <cfvo type="percent" val="33"/>
        <cfvo type="percent" val="67"/>
      </iconSet>
    </cfRule>
  </conditionalFormatting>
  <conditionalFormatting sqref="G37:G40">
    <cfRule type="iconSet" priority="13">
      <iconSet iconSet="3Symbols" showValue="0">
        <cfvo type="percent" val="0"/>
        <cfvo type="num" val="0" gte="0"/>
        <cfvo type="num" val="1"/>
      </iconSet>
    </cfRule>
  </conditionalFormatting>
  <conditionalFormatting sqref="G45:G49">
    <cfRule type="iconSet" priority="11">
      <iconSet iconSet="3Symbols" showValue="0">
        <cfvo type="percent" val="0"/>
        <cfvo type="percent" val="33"/>
        <cfvo type="percent" val="67"/>
      </iconSet>
    </cfRule>
  </conditionalFormatting>
  <conditionalFormatting sqref="I6">
    <cfRule type="expression" dxfId="15" priority="9">
      <formula>$G$8=0</formula>
    </cfRule>
    <cfRule type="expression" dxfId="14" priority="10">
      <formula>$G$8=1</formula>
    </cfRule>
  </conditionalFormatting>
  <conditionalFormatting sqref="I19">
    <cfRule type="expression" dxfId="13" priority="5">
      <formula>$G$18=0</formula>
    </cfRule>
    <cfRule type="expression" dxfId="12" priority="6">
      <formula>$G$18=1</formula>
    </cfRule>
  </conditionalFormatting>
  <conditionalFormatting sqref="I28">
    <cfRule type="expression" dxfId="11" priority="7">
      <formula>$G$13=0</formula>
    </cfRule>
    <cfRule type="expression" dxfId="10" priority="8">
      <formula>$G$13=1</formula>
    </cfRule>
  </conditionalFormatting>
  <conditionalFormatting sqref="I40">
    <cfRule type="expression" dxfId="9" priority="1">
      <formula>$G$31=0</formula>
    </cfRule>
    <cfRule type="expression" dxfId="8" priority="2">
      <formula>$G$31=1</formula>
    </cfRule>
  </conditionalFormatting>
  <conditionalFormatting sqref="I45">
    <cfRule type="expression" dxfId="7" priority="3">
      <formula>$G$28=0</formula>
    </cfRule>
    <cfRule type="expression" dxfId="6" priority="4">
      <formula>$G$28=1</formula>
    </cfRule>
  </conditionalFormatting>
  <pageMargins left="0.7" right="0.7" top="0.78740157499999996" bottom="0.78740157499999996" header="0.3" footer="0.3"/>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D10"/>
  <sheetViews>
    <sheetView workbookViewId="0">
      <selection activeCell="B13" sqref="B13"/>
    </sheetView>
  </sheetViews>
  <sheetFormatPr defaultRowHeight="14.45"/>
  <cols>
    <col min="2" max="2" width="24.28515625" customWidth="1"/>
    <col min="3" max="3" width="17.7109375" customWidth="1"/>
    <col min="4" max="4" width="100.5703125" customWidth="1"/>
  </cols>
  <sheetData>
    <row r="1" spans="2:4" ht="15" thickBot="1"/>
    <row r="2" spans="2:4" ht="28.9">
      <c r="B2" s="132" t="s">
        <v>142</v>
      </c>
      <c r="C2" s="179" t="s">
        <v>143</v>
      </c>
      <c r="D2" s="246" t="s">
        <v>144</v>
      </c>
    </row>
    <row r="3" spans="2:4" ht="28.9">
      <c r="B3" s="134" t="s">
        <v>145</v>
      </c>
      <c r="C3" s="244">
        <v>1000</v>
      </c>
      <c r="D3" s="249" t="s">
        <v>146</v>
      </c>
    </row>
    <row r="4" spans="2:4" ht="43.5" customHeight="1">
      <c r="B4" s="134" t="s">
        <v>147</v>
      </c>
      <c r="C4" s="244">
        <v>1000</v>
      </c>
      <c r="D4" s="249" t="s">
        <v>148</v>
      </c>
    </row>
    <row r="5" spans="2:4">
      <c r="B5" s="134" t="s">
        <v>149</v>
      </c>
      <c r="C5" s="244">
        <v>1000</v>
      </c>
      <c r="D5" s="247" t="s">
        <v>150</v>
      </c>
    </row>
    <row r="6" spans="2:4">
      <c r="B6" s="134" t="s">
        <v>151</v>
      </c>
      <c r="C6" s="244">
        <v>1000</v>
      </c>
      <c r="D6" s="247" t="s">
        <v>152</v>
      </c>
    </row>
    <row r="7" spans="2:4">
      <c r="B7" s="134" t="s">
        <v>153</v>
      </c>
      <c r="C7" s="244">
        <v>800</v>
      </c>
      <c r="D7" s="247" t="s">
        <v>154</v>
      </c>
    </row>
    <row r="8" spans="2:4">
      <c r="B8" s="134" t="s">
        <v>155</v>
      </c>
      <c r="C8" s="244">
        <v>1500</v>
      </c>
      <c r="D8" s="247" t="s">
        <v>156</v>
      </c>
    </row>
    <row r="9" spans="2:4">
      <c r="B9" s="134" t="s">
        <v>157</v>
      </c>
      <c r="C9" s="244">
        <v>1000</v>
      </c>
      <c r="D9" s="247" t="s">
        <v>158</v>
      </c>
    </row>
    <row r="10" spans="2:4" ht="29.45" thickBot="1">
      <c r="B10" s="135" t="s">
        <v>159</v>
      </c>
      <c r="C10" s="245">
        <v>1.5</v>
      </c>
      <c r="D10" s="248" t="s">
        <v>160</v>
      </c>
    </row>
  </sheetData>
  <pageMargins left="0.7" right="0.7" top="0.78740157499999996" bottom="0.78740157499999996" header="0.3" footer="0.3"/>
  <pageSetup paperSize="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34"/>
  <sheetViews>
    <sheetView topLeftCell="A15" workbookViewId="0">
      <selection activeCell="O33" sqref="O33"/>
    </sheetView>
  </sheetViews>
  <sheetFormatPr defaultRowHeight="14.45"/>
  <cols>
    <col min="2" max="2" width="18.7109375" bestFit="1" customWidth="1"/>
    <col min="3" max="3" width="9.28515625" customWidth="1"/>
    <col min="4" max="4" width="11.42578125" customWidth="1"/>
    <col min="5" max="5" width="7.7109375" customWidth="1"/>
    <col min="6" max="6" width="7" customWidth="1"/>
    <col min="7" max="7" width="27.42578125" customWidth="1"/>
    <col min="8" max="8" width="10.5703125" customWidth="1"/>
    <col min="9" max="9" width="16.7109375" customWidth="1"/>
    <col min="10" max="10" width="13.28515625" bestFit="1" customWidth="1"/>
    <col min="11" max="11" width="13.5703125" bestFit="1" customWidth="1"/>
    <col min="12" max="12" width="10.5703125" bestFit="1" customWidth="1"/>
    <col min="13" max="13" width="13.5703125" customWidth="1"/>
    <col min="14" max="14" width="12.5703125" customWidth="1"/>
    <col min="15" max="15" width="36.5703125" bestFit="1" customWidth="1"/>
    <col min="16" max="16" width="12.28515625" customWidth="1"/>
  </cols>
  <sheetData>
    <row r="1" spans="1:16" ht="31.5" customHeight="1" thickTop="1">
      <c r="A1" s="2"/>
      <c r="B1" s="6" t="s">
        <v>161</v>
      </c>
      <c r="C1" s="22" t="s">
        <v>49</v>
      </c>
      <c r="D1" s="23" t="s">
        <v>162</v>
      </c>
      <c r="E1" s="23" t="s">
        <v>163</v>
      </c>
      <c r="F1" s="23" t="s">
        <v>164</v>
      </c>
      <c r="G1" s="28" t="s">
        <v>165</v>
      </c>
      <c r="H1" s="31" t="s">
        <v>166</v>
      </c>
      <c r="I1" s="32" t="s">
        <v>167</v>
      </c>
      <c r="J1" s="22" t="s">
        <v>168</v>
      </c>
      <c r="K1" s="22" t="s">
        <v>169</v>
      </c>
      <c r="L1" s="23" t="s">
        <v>170</v>
      </c>
      <c r="M1" s="23" t="s">
        <v>171</v>
      </c>
      <c r="N1" s="28" t="s">
        <v>50</v>
      </c>
    </row>
    <row r="2" spans="1:16" ht="25.15" customHeight="1">
      <c r="A2" s="327" t="s">
        <v>55</v>
      </c>
      <c r="B2" s="226" t="s">
        <v>56</v>
      </c>
      <c r="C2" s="3" t="s">
        <v>57</v>
      </c>
      <c r="D2" s="227">
        <v>0</v>
      </c>
      <c r="E2" s="227">
        <v>8</v>
      </c>
      <c r="F2" s="227">
        <v>32</v>
      </c>
      <c r="G2" s="228"/>
      <c r="H2" s="229">
        <f>'[1]Licence - moduly'!G4</f>
        <v>1</v>
      </c>
      <c r="I2" s="230">
        <v>16</v>
      </c>
      <c r="J2" s="231">
        <v>16</v>
      </c>
      <c r="K2" s="231">
        <v>0</v>
      </c>
      <c r="L2" s="227">
        <v>4</v>
      </c>
      <c r="M2" s="232">
        <f>SUM(I2:L2)</f>
        <v>36</v>
      </c>
      <c r="N2" s="233">
        <f t="shared" ref="N2:N30" si="0">I2*Analýza+J2*Konfigurace__vývoj+K2*Migrace+L2*Práva</f>
        <v>36000</v>
      </c>
      <c r="O2" s="48"/>
    </row>
    <row r="3" spans="1:16" ht="25.15" customHeight="1">
      <c r="A3" s="328"/>
      <c r="B3" s="226" t="s">
        <v>58</v>
      </c>
      <c r="C3" s="3" t="s">
        <v>57</v>
      </c>
      <c r="D3" s="227">
        <v>0</v>
      </c>
      <c r="E3" s="227">
        <v>8</v>
      </c>
      <c r="F3" s="227">
        <v>32</v>
      </c>
      <c r="G3" s="228"/>
      <c r="H3" s="229">
        <f>'[1]Licence - moduly'!G5</f>
        <v>1</v>
      </c>
      <c r="I3" s="230">
        <v>24</v>
      </c>
      <c r="J3" s="231">
        <v>20</v>
      </c>
      <c r="K3" s="231">
        <v>0</v>
      </c>
      <c r="L3" s="227">
        <v>4</v>
      </c>
      <c r="M3" s="232">
        <f t="shared" ref="M3:M30" si="1">SUM(I3:L3)</f>
        <v>48</v>
      </c>
      <c r="N3" s="233">
        <f t="shared" si="0"/>
        <v>48000</v>
      </c>
      <c r="O3" s="48"/>
    </row>
    <row r="4" spans="1:16" ht="25.15" customHeight="1">
      <c r="A4" s="328"/>
      <c r="B4" s="9" t="s">
        <v>59</v>
      </c>
      <c r="C4" s="4" t="s">
        <v>60</v>
      </c>
      <c r="D4" s="16">
        <v>0</v>
      </c>
      <c r="E4" s="16">
        <v>4</v>
      </c>
      <c r="F4" s="16">
        <v>8</v>
      </c>
      <c r="G4" s="14"/>
      <c r="H4" s="21">
        <f>'[1]Licence - moduly'!G6</f>
        <v>0</v>
      </c>
      <c r="I4" s="34">
        <v>0</v>
      </c>
      <c r="J4" s="35">
        <v>0</v>
      </c>
      <c r="K4" s="35">
        <v>0</v>
      </c>
      <c r="L4" s="38">
        <v>0</v>
      </c>
      <c r="M4" s="103">
        <f t="shared" si="1"/>
        <v>0</v>
      </c>
      <c r="N4" s="7">
        <f t="shared" si="0"/>
        <v>0</v>
      </c>
      <c r="O4" s="48"/>
    </row>
    <row r="5" spans="1:16" ht="25.15" customHeight="1">
      <c r="A5" s="328"/>
      <c r="B5" s="226" t="s">
        <v>62</v>
      </c>
      <c r="C5" s="3" t="s">
        <v>57</v>
      </c>
      <c r="D5" s="227">
        <v>0</v>
      </c>
      <c r="E5" s="227">
        <v>4</v>
      </c>
      <c r="F5" s="227">
        <v>8</v>
      </c>
      <c r="G5" s="228"/>
      <c r="H5" s="229">
        <f>'[1]Licence - moduly'!G7</f>
        <v>1</v>
      </c>
      <c r="I5" s="230">
        <v>8</v>
      </c>
      <c r="J5" s="231">
        <v>8</v>
      </c>
      <c r="K5" s="231">
        <v>0</v>
      </c>
      <c r="L5" s="227">
        <v>2</v>
      </c>
      <c r="M5" s="232">
        <v>18</v>
      </c>
      <c r="N5" s="233">
        <f t="shared" si="0"/>
        <v>18000</v>
      </c>
      <c r="O5" s="48"/>
    </row>
    <row r="6" spans="1:16" ht="25.15" customHeight="1">
      <c r="A6" s="329"/>
      <c r="B6" s="9" t="s">
        <v>63</v>
      </c>
      <c r="C6" s="4" t="s">
        <v>60</v>
      </c>
      <c r="D6" s="16">
        <v>0</v>
      </c>
      <c r="E6" s="16">
        <v>8</v>
      </c>
      <c r="F6" s="16">
        <v>16</v>
      </c>
      <c r="G6" s="14"/>
      <c r="H6" s="21">
        <f>'[1]Licence - moduly'!G8</f>
        <v>0</v>
      </c>
      <c r="I6" s="34">
        <v>0</v>
      </c>
      <c r="J6" s="35">
        <v>0</v>
      </c>
      <c r="K6" s="35">
        <v>0</v>
      </c>
      <c r="L6" s="38">
        <v>0</v>
      </c>
      <c r="M6" s="103">
        <f t="shared" si="1"/>
        <v>0</v>
      </c>
      <c r="N6" s="7">
        <f t="shared" si="0"/>
        <v>0</v>
      </c>
      <c r="O6" s="48"/>
    </row>
    <row r="7" spans="1:16" ht="25.15" customHeight="1">
      <c r="A7" s="327" t="s">
        <v>65</v>
      </c>
      <c r="B7" s="226" t="s">
        <v>66</v>
      </c>
      <c r="C7" s="3" t="s">
        <v>57</v>
      </c>
      <c r="D7" s="227">
        <v>0</v>
      </c>
      <c r="E7" s="227">
        <v>4</v>
      </c>
      <c r="F7" s="227">
        <v>8</v>
      </c>
      <c r="G7" s="228"/>
      <c r="H7" s="229">
        <f>'[1]Licence - moduly'!G9</f>
        <v>1</v>
      </c>
      <c r="I7" s="230">
        <v>8</v>
      </c>
      <c r="J7" s="231">
        <v>8</v>
      </c>
      <c r="K7" s="231">
        <v>4</v>
      </c>
      <c r="L7" s="227">
        <v>2</v>
      </c>
      <c r="M7" s="232">
        <f t="shared" si="1"/>
        <v>22</v>
      </c>
      <c r="N7" s="233">
        <f t="shared" si="0"/>
        <v>22000</v>
      </c>
      <c r="O7" s="48"/>
    </row>
    <row r="8" spans="1:16" ht="25.15" customHeight="1">
      <c r="A8" s="328"/>
      <c r="B8" s="226" t="s">
        <v>67</v>
      </c>
      <c r="C8" s="3" t="s">
        <v>57</v>
      </c>
      <c r="D8" s="227">
        <v>0</v>
      </c>
      <c r="E8" s="227">
        <v>4</v>
      </c>
      <c r="F8" s="227">
        <v>8</v>
      </c>
      <c r="G8" s="228"/>
      <c r="H8" s="229">
        <f>'[1]Licence - moduly'!G10</f>
        <v>1</v>
      </c>
      <c r="I8" s="230">
        <v>8</v>
      </c>
      <c r="J8" s="231">
        <v>8</v>
      </c>
      <c r="K8" s="231">
        <v>4</v>
      </c>
      <c r="L8" s="227">
        <v>2</v>
      </c>
      <c r="M8" s="232">
        <f t="shared" si="1"/>
        <v>22</v>
      </c>
      <c r="N8" s="233">
        <f t="shared" si="0"/>
        <v>22000</v>
      </c>
      <c r="O8" s="48"/>
    </row>
    <row r="9" spans="1:16" ht="25.15" customHeight="1">
      <c r="A9" s="328"/>
      <c r="B9" s="9" t="s">
        <v>68</v>
      </c>
      <c r="C9" s="4" t="s">
        <v>60</v>
      </c>
      <c r="D9" s="16">
        <v>0</v>
      </c>
      <c r="E9" s="16">
        <v>8</v>
      </c>
      <c r="F9" s="16">
        <v>32</v>
      </c>
      <c r="G9" s="14"/>
      <c r="H9" s="21">
        <f>'[1]Licence - moduly'!G11</f>
        <v>1</v>
      </c>
      <c r="I9" s="34">
        <v>32</v>
      </c>
      <c r="J9" s="35">
        <v>28</v>
      </c>
      <c r="K9" s="35">
        <v>8</v>
      </c>
      <c r="L9" s="38">
        <v>8</v>
      </c>
      <c r="M9" s="103">
        <f t="shared" si="1"/>
        <v>76</v>
      </c>
      <c r="N9" s="7">
        <f t="shared" si="0"/>
        <v>76000</v>
      </c>
      <c r="O9" s="48"/>
      <c r="P9" s="42"/>
    </row>
    <row r="10" spans="1:16" ht="25.15" customHeight="1">
      <c r="A10" s="328"/>
      <c r="B10" s="226" t="s">
        <v>69</v>
      </c>
      <c r="C10" s="3" t="s">
        <v>57</v>
      </c>
      <c r="D10" s="227">
        <v>0</v>
      </c>
      <c r="E10" s="227">
        <v>8</v>
      </c>
      <c r="F10" s="227">
        <v>24</v>
      </c>
      <c r="G10" s="228"/>
      <c r="H10" s="229">
        <f>'[1]Licence - moduly'!G12</f>
        <v>1</v>
      </c>
      <c r="I10" s="230">
        <v>24</v>
      </c>
      <c r="J10" s="231">
        <v>24</v>
      </c>
      <c r="K10" s="231">
        <v>8</v>
      </c>
      <c r="L10" s="227">
        <v>4</v>
      </c>
      <c r="M10" s="232">
        <f>SUM(I10:L10)</f>
        <v>60</v>
      </c>
      <c r="N10" s="233">
        <f t="shared" si="0"/>
        <v>60000</v>
      </c>
      <c r="O10" s="48"/>
    </row>
    <row r="11" spans="1:16" ht="50.1" customHeight="1">
      <c r="A11" s="329"/>
      <c r="B11" s="296" t="s">
        <v>70</v>
      </c>
      <c r="C11" s="297" t="s">
        <v>60</v>
      </c>
      <c r="D11" s="298">
        <v>8</v>
      </c>
      <c r="E11" s="298">
        <v>8</v>
      </c>
      <c r="F11" s="298">
        <v>80</v>
      </c>
      <c r="G11" s="299" t="s">
        <v>172</v>
      </c>
      <c r="H11" s="300">
        <f>'[1]Licence - moduly'!G13</f>
        <v>0</v>
      </c>
      <c r="I11" s="301">
        <v>0</v>
      </c>
      <c r="J11" s="302">
        <v>0</v>
      </c>
      <c r="K11" s="302">
        <v>0</v>
      </c>
      <c r="L11" s="303">
        <v>0</v>
      </c>
      <c r="M11" s="304">
        <f t="shared" si="1"/>
        <v>0</v>
      </c>
      <c r="N11" s="305">
        <f t="shared" si="0"/>
        <v>0</v>
      </c>
      <c r="O11" s="224" t="s">
        <v>173</v>
      </c>
    </row>
    <row r="12" spans="1:16" ht="25.15" customHeight="1">
      <c r="A12" s="323" t="s">
        <v>72</v>
      </c>
      <c r="B12" s="226" t="s">
        <v>73</v>
      </c>
      <c r="C12" s="3" t="s">
        <v>57</v>
      </c>
      <c r="D12" s="227">
        <v>0</v>
      </c>
      <c r="E12" s="227">
        <v>1</v>
      </c>
      <c r="F12" s="227">
        <v>16</v>
      </c>
      <c r="G12" s="228"/>
      <c r="H12" s="229">
        <f>'[1]Licence - moduly'!G14</f>
        <v>1</v>
      </c>
      <c r="I12" s="230">
        <v>16</v>
      </c>
      <c r="J12" s="231">
        <v>16</v>
      </c>
      <c r="K12" s="231">
        <v>4</v>
      </c>
      <c r="L12" s="227">
        <v>4</v>
      </c>
      <c r="M12" s="232">
        <f t="shared" si="1"/>
        <v>40</v>
      </c>
      <c r="N12" s="233">
        <f t="shared" si="0"/>
        <v>40000</v>
      </c>
      <c r="O12" s="48"/>
    </row>
    <row r="13" spans="1:16" ht="25.15" customHeight="1">
      <c r="A13" s="324"/>
      <c r="B13" s="226" t="s">
        <v>75</v>
      </c>
      <c r="C13" s="3" t="s">
        <v>57</v>
      </c>
      <c r="D13" s="227">
        <v>0</v>
      </c>
      <c r="E13" s="227">
        <v>1</v>
      </c>
      <c r="F13" s="227">
        <v>8</v>
      </c>
      <c r="G13" s="228"/>
      <c r="H13" s="229">
        <f>'[1]Licence - moduly'!G15</f>
        <v>1</v>
      </c>
      <c r="I13" s="230">
        <v>8</v>
      </c>
      <c r="J13" s="231">
        <v>8</v>
      </c>
      <c r="K13" s="231">
        <v>0</v>
      </c>
      <c r="L13" s="227">
        <v>4</v>
      </c>
      <c r="M13" s="232">
        <f t="shared" si="1"/>
        <v>20</v>
      </c>
      <c r="N13" s="233">
        <f t="shared" si="0"/>
        <v>20000</v>
      </c>
      <c r="O13" s="48"/>
    </row>
    <row r="14" spans="1:16" ht="25.15" customHeight="1">
      <c r="A14" s="325"/>
      <c r="B14" s="9" t="s">
        <v>76</v>
      </c>
      <c r="C14" s="4" t="s">
        <v>60</v>
      </c>
      <c r="D14" s="16">
        <v>0</v>
      </c>
      <c r="E14" s="16">
        <v>8</v>
      </c>
      <c r="F14" s="16">
        <v>24</v>
      </c>
      <c r="G14" s="14"/>
      <c r="H14" s="21">
        <v>1</v>
      </c>
      <c r="I14" s="34">
        <v>24</v>
      </c>
      <c r="J14" s="35">
        <v>20</v>
      </c>
      <c r="K14" s="35">
        <v>0</v>
      </c>
      <c r="L14" s="38">
        <v>4</v>
      </c>
      <c r="M14" s="103">
        <f t="shared" si="1"/>
        <v>48</v>
      </c>
      <c r="N14" s="7">
        <f t="shared" si="0"/>
        <v>48000</v>
      </c>
      <c r="O14" s="48"/>
    </row>
    <row r="15" spans="1:16" ht="25.15" customHeight="1">
      <c r="A15" s="323" t="s">
        <v>77</v>
      </c>
      <c r="B15" s="226" t="s">
        <v>78</v>
      </c>
      <c r="C15" s="3" t="s">
        <v>57</v>
      </c>
      <c r="D15" s="227">
        <v>0</v>
      </c>
      <c r="E15" s="227">
        <v>1</v>
      </c>
      <c r="F15" s="227">
        <v>8</v>
      </c>
      <c r="G15" s="228"/>
      <c r="H15" s="229">
        <f>'[1]Licence - moduly'!G17</f>
        <v>1</v>
      </c>
      <c r="I15" s="230">
        <v>8</v>
      </c>
      <c r="J15" s="231">
        <v>8</v>
      </c>
      <c r="K15" s="231">
        <v>0</v>
      </c>
      <c r="L15" s="227">
        <v>4</v>
      </c>
      <c r="M15" s="232">
        <f t="shared" si="1"/>
        <v>20</v>
      </c>
      <c r="N15" s="233">
        <f t="shared" si="0"/>
        <v>20000</v>
      </c>
      <c r="O15" s="48"/>
    </row>
    <row r="16" spans="1:16" ht="25.15" customHeight="1">
      <c r="A16" s="324"/>
      <c r="B16" s="9" t="s">
        <v>79</v>
      </c>
      <c r="C16" s="4" t="s">
        <v>60</v>
      </c>
      <c r="D16" s="16">
        <v>0</v>
      </c>
      <c r="E16" s="16">
        <v>8</v>
      </c>
      <c r="F16" s="16">
        <v>32</v>
      </c>
      <c r="G16" s="14"/>
      <c r="H16" s="21">
        <f>'[1]Licence - moduly'!G18</f>
        <v>0</v>
      </c>
      <c r="I16" s="34">
        <v>0</v>
      </c>
      <c r="J16" s="35">
        <v>0</v>
      </c>
      <c r="K16" s="35">
        <v>0</v>
      </c>
      <c r="L16" s="38">
        <v>0</v>
      </c>
      <c r="M16" s="103">
        <f t="shared" si="1"/>
        <v>0</v>
      </c>
      <c r="N16" s="7">
        <f t="shared" si="0"/>
        <v>0</v>
      </c>
      <c r="O16" s="48"/>
    </row>
    <row r="17" spans="1:15" ht="25.15" customHeight="1">
      <c r="A17" s="325"/>
      <c r="B17" s="9" t="s">
        <v>81</v>
      </c>
      <c r="C17" s="4" t="s">
        <v>60</v>
      </c>
      <c r="D17" s="16">
        <v>0</v>
      </c>
      <c r="E17" s="16">
        <v>8</v>
      </c>
      <c r="F17" s="16">
        <v>32</v>
      </c>
      <c r="G17" s="14"/>
      <c r="H17" s="21">
        <f>'[1]Licence - moduly'!G19</f>
        <v>0</v>
      </c>
      <c r="I17" s="34">
        <v>0</v>
      </c>
      <c r="J17" s="35">
        <v>0</v>
      </c>
      <c r="K17" s="35">
        <v>0</v>
      </c>
      <c r="L17" s="38">
        <v>0</v>
      </c>
      <c r="M17" s="103">
        <f t="shared" si="1"/>
        <v>0</v>
      </c>
      <c r="N17" s="7">
        <f t="shared" si="0"/>
        <v>0</v>
      </c>
      <c r="O17" s="48"/>
    </row>
    <row r="18" spans="1:15" ht="25.15" customHeight="1">
      <c r="A18" s="323" t="s">
        <v>83</v>
      </c>
      <c r="B18" s="9" t="s">
        <v>84</v>
      </c>
      <c r="C18" s="4" t="s">
        <v>60</v>
      </c>
      <c r="D18" s="16">
        <v>0</v>
      </c>
      <c r="E18" s="16">
        <v>8</v>
      </c>
      <c r="F18" s="16">
        <v>32</v>
      </c>
      <c r="G18" s="14"/>
      <c r="H18" s="21">
        <f>'[1]Licence - moduly'!G20</f>
        <v>0</v>
      </c>
      <c r="I18" s="34">
        <v>0</v>
      </c>
      <c r="J18" s="35">
        <v>0</v>
      </c>
      <c r="K18" s="35">
        <v>0</v>
      </c>
      <c r="L18" s="38">
        <v>0</v>
      </c>
      <c r="M18" s="103">
        <f>SUM(I18:L18)</f>
        <v>0</v>
      </c>
      <c r="N18" s="7">
        <f t="shared" si="0"/>
        <v>0</v>
      </c>
      <c r="O18" s="48"/>
    </row>
    <row r="19" spans="1:15" ht="30" customHeight="1">
      <c r="A19" s="324"/>
      <c r="B19" s="9" t="s">
        <v>85</v>
      </c>
      <c r="C19" s="4" t="s">
        <v>60</v>
      </c>
      <c r="D19" s="16">
        <v>0</v>
      </c>
      <c r="E19" s="16">
        <v>1</v>
      </c>
      <c r="F19" s="16">
        <v>16</v>
      </c>
      <c r="G19" s="46" t="s">
        <v>174</v>
      </c>
      <c r="H19" s="21">
        <v>0</v>
      </c>
      <c r="I19" s="34">
        <v>0</v>
      </c>
      <c r="J19" s="35">
        <v>0</v>
      </c>
      <c r="K19" s="35">
        <v>0</v>
      </c>
      <c r="L19" s="38">
        <v>0</v>
      </c>
      <c r="M19" s="103">
        <f t="shared" ref="M19" si="2">SUM(I19:L19)</f>
        <v>0</v>
      </c>
      <c r="N19" s="7">
        <f t="shared" si="0"/>
        <v>0</v>
      </c>
      <c r="O19" s="48"/>
    </row>
    <row r="20" spans="1:15" ht="25.15" customHeight="1">
      <c r="A20" s="324"/>
      <c r="B20" s="9" t="s">
        <v>86</v>
      </c>
      <c r="C20" s="4" t="s">
        <v>60</v>
      </c>
      <c r="D20" s="16">
        <v>0</v>
      </c>
      <c r="E20" s="16">
        <v>8</v>
      </c>
      <c r="F20" s="16">
        <v>16</v>
      </c>
      <c r="G20" s="14"/>
      <c r="H20" s="21">
        <v>1</v>
      </c>
      <c r="I20" s="34">
        <v>16</v>
      </c>
      <c r="J20" s="35">
        <v>16</v>
      </c>
      <c r="K20" s="35">
        <v>0</v>
      </c>
      <c r="L20" s="38">
        <v>4</v>
      </c>
      <c r="M20" s="103">
        <f t="shared" si="1"/>
        <v>36</v>
      </c>
      <c r="N20" s="7">
        <f t="shared" si="0"/>
        <v>36000</v>
      </c>
      <c r="O20" s="48"/>
    </row>
    <row r="21" spans="1:15" ht="25.15" customHeight="1">
      <c r="A21" s="325"/>
      <c r="B21" s="9" t="s">
        <v>87</v>
      </c>
      <c r="C21" s="4" t="s">
        <v>60</v>
      </c>
      <c r="D21" s="16">
        <v>0</v>
      </c>
      <c r="E21" s="16">
        <v>8</v>
      </c>
      <c r="F21" s="16">
        <v>16</v>
      </c>
      <c r="G21" s="14"/>
      <c r="H21" s="21">
        <v>1</v>
      </c>
      <c r="I21" s="34">
        <v>16</v>
      </c>
      <c r="J21" s="35">
        <v>16</v>
      </c>
      <c r="K21" s="35">
        <v>0</v>
      </c>
      <c r="L21" s="38">
        <v>4</v>
      </c>
      <c r="M21" s="103">
        <f t="shared" si="1"/>
        <v>36</v>
      </c>
      <c r="N21" s="7">
        <f t="shared" si="0"/>
        <v>36000</v>
      </c>
      <c r="O21" s="48"/>
    </row>
    <row r="22" spans="1:15" ht="25.15" customHeight="1">
      <c r="A22" s="323" t="s">
        <v>89</v>
      </c>
      <c r="B22" s="9" t="s">
        <v>90</v>
      </c>
      <c r="C22" s="4" t="s">
        <v>60</v>
      </c>
      <c r="D22" s="16">
        <v>0</v>
      </c>
      <c r="E22" s="16">
        <v>8</v>
      </c>
      <c r="F22" s="16">
        <v>32</v>
      </c>
      <c r="G22" s="14"/>
      <c r="H22" s="21">
        <f>'[1]Licence - moduly'!G24</f>
        <v>1</v>
      </c>
      <c r="I22" s="34">
        <v>24</v>
      </c>
      <c r="J22" s="35">
        <v>24</v>
      </c>
      <c r="K22" s="35">
        <v>0</v>
      </c>
      <c r="L22" s="38">
        <v>4</v>
      </c>
      <c r="M22" s="103">
        <f t="shared" si="1"/>
        <v>52</v>
      </c>
      <c r="N22" s="7">
        <f t="shared" si="0"/>
        <v>52000</v>
      </c>
      <c r="O22" s="48"/>
    </row>
    <row r="23" spans="1:15" ht="25.15" customHeight="1">
      <c r="A23" s="324"/>
      <c r="B23" s="9" t="s">
        <v>91</v>
      </c>
      <c r="C23" s="4" t="s">
        <v>60</v>
      </c>
      <c r="D23" s="16">
        <v>0</v>
      </c>
      <c r="E23" s="16">
        <v>8</v>
      </c>
      <c r="F23" s="16">
        <v>32</v>
      </c>
      <c r="G23" s="14"/>
      <c r="H23" s="21">
        <v>1</v>
      </c>
      <c r="I23" s="34">
        <v>32</v>
      </c>
      <c r="J23" s="35">
        <v>28</v>
      </c>
      <c r="K23" s="35">
        <v>0</v>
      </c>
      <c r="L23" s="38">
        <v>4</v>
      </c>
      <c r="M23" s="103">
        <f t="shared" si="1"/>
        <v>64</v>
      </c>
      <c r="N23" s="7">
        <f t="shared" si="0"/>
        <v>64000</v>
      </c>
      <c r="O23" s="48"/>
    </row>
    <row r="24" spans="1:15" ht="25.15" customHeight="1">
      <c r="A24" s="325"/>
      <c r="B24" s="9" t="s">
        <v>92</v>
      </c>
      <c r="C24" s="4" t="s">
        <v>60</v>
      </c>
      <c r="D24" s="16">
        <v>0</v>
      </c>
      <c r="E24" s="16">
        <v>8</v>
      </c>
      <c r="F24" s="16">
        <v>32</v>
      </c>
      <c r="G24" s="14"/>
      <c r="H24" s="21">
        <f>'[1]Licence - moduly'!G26</f>
        <v>1</v>
      </c>
      <c r="I24" s="34">
        <v>32</v>
      </c>
      <c r="J24" s="35">
        <v>32</v>
      </c>
      <c r="K24" s="35">
        <v>0</v>
      </c>
      <c r="L24" s="38">
        <v>4</v>
      </c>
      <c r="M24" s="103">
        <f t="shared" si="1"/>
        <v>68</v>
      </c>
      <c r="N24" s="7">
        <f t="shared" si="0"/>
        <v>68000</v>
      </c>
      <c r="O24" s="48"/>
    </row>
    <row r="25" spans="1:15" ht="29.25" customHeight="1">
      <c r="A25" s="323" t="s">
        <v>93</v>
      </c>
      <c r="B25" s="9" t="s">
        <v>94</v>
      </c>
      <c r="C25" s="4" t="s">
        <v>60</v>
      </c>
      <c r="D25" s="16">
        <v>16</v>
      </c>
      <c r="E25" s="16">
        <v>40</v>
      </c>
      <c r="F25" s="16">
        <v>120</v>
      </c>
      <c r="G25" s="46" t="s">
        <v>175</v>
      </c>
      <c r="H25" s="21">
        <v>1</v>
      </c>
      <c r="I25" s="34">
        <v>80</v>
      </c>
      <c r="J25" s="35">
        <v>80</v>
      </c>
      <c r="K25" s="35">
        <v>0</v>
      </c>
      <c r="L25" s="38">
        <v>8</v>
      </c>
      <c r="M25" s="103">
        <f t="shared" si="1"/>
        <v>168</v>
      </c>
      <c r="N25" s="7">
        <f t="shared" si="0"/>
        <v>168000</v>
      </c>
      <c r="O25" s="48"/>
    </row>
    <row r="26" spans="1:15" ht="30" customHeight="1">
      <c r="A26" s="324"/>
      <c r="B26" s="9" t="s">
        <v>95</v>
      </c>
      <c r="C26" s="4" t="s">
        <v>60</v>
      </c>
      <c r="D26" s="16">
        <v>8</v>
      </c>
      <c r="E26" s="16">
        <v>4</v>
      </c>
      <c r="F26" s="16">
        <v>40</v>
      </c>
      <c r="G26" s="46" t="s">
        <v>176</v>
      </c>
      <c r="H26" s="21">
        <v>1</v>
      </c>
      <c r="I26" s="34">
        <v>40</v>
      </c>
      <c r="J26" s="35">
        <v>32</v>
      </c>
      <c r="K26" s="35">
        <v>0</v>
      </c>
      <c r="L26" s="38">
        <v>4</v>
      </c>
      <c r="M26" s="103">
        <f t="shared" si="1"/>
        <v>76</v>
      </c>
      <c r="N26" s="7">
        <f t="shared" si="0"/>
        <v>76000</v>
      </c>
      <c r="O26" s="48"/>
    </row>
    <row r="27" spans="1:15" ht="27" customHeight="1">
      <c r="A27" s="325"/>
      <c r="B27" s="226" t="s">
        <v>98</v>
      </c>
      <c r="C27" s="3" t="s">
        <v>57</v>
      </c>
      <c r="D27" s="227">
        <v>0</v>
      </c>
      <c r="E27" s="227">
        <v>1</v>
      </c>
      <c r="F27" s="227">
        <v>32</v>
      </c>
      <c r="G27" s="234" t="s">
        <v>177</v>
      </c>
      <c r="H27" s="229">
        <f>'[1]Licence - moduly'!G29</f>
        <v>1</v>
      </c>
      <c r="I27" s="230">
        <v>24</v>
      </c>
      <c r="J27" s="231">
        <v>24</v>
      </c>
      <c r="K27" s="231">
        <v>0</v>
      </c>
      <c r="L27" s="227">
        <v>4</v>
      </c>
      <c r="M27" s="232">
        <f t="shared" si="1"/>
        <v>52</v>
      </c>
      <c r="N27" s="233">
        <f t="shared" si="0"/>
        <v>52000</v>
      </c>
      <c r="O27" s="48"/>
    </row>
    <row r="28" spans="1:15" ht="31.5" customHeight="1">
      <c r="A28" s="323" t="s">
        <v>99</v>
      </c>
      <c r="B28" s="9" t="s">
        <v>100</v>
      </c>
      <c r="C28" s="4" t="s">
        <v>60</v>
      </c>
      <c r="D28" s="16">
        <v>0</v>
      </c>
      <c r="E28" s="16" t="s">
        <v>178</v>
      </c>
      <c r="F28" s="16" t="s">
        <v>178</v>
      </c>
      <c r="G28" s="46" t="s">
        <v>179</v>
      </c>
      <c r="H28" s="21">
        <v>1</v>
      </c>
      <c r="I28" s="34">
        <v>40</v>
      </c>
      <c r="J28" s="35">
        <v>40</v>
      </c>
      <c r="K28" s="35">
        <v>0</v>
      </c>
      <c r="L28" s="38">
        <v>4</v>
      </c>
      <c r="M28" s="103">
        <f t="shared" si="1"/>
        <v>84</v>
      </c>
      <c r="N28" s="7">
        <f t="shared" si="0"/>
        <v>84000</v>
      </c>
      <c r="O28" s="48"/>
    </row>
    <row r="29" spans="1:15" ht="24.75" customHeight="1">
      <c r="A29" s="324"/>
      <c r="B29" s="9" t="s">
        <v>101</v>
      </c>
      <c r="C29" s="4" t="s">
        <v>60</v>
      </c>
      <c r="D29" s="16">
        <v>0</v>
      </c>
      <c r="E29" s="16">
        <v>4</v>
      </c>
      <c r="F29" s="16">
        <v>24</v>
      </c>
      <c r="G29" s="46" t="s">
        <v>180</v>
      </c>
      <c r="H29" s="21">
        <v>1</v>
      </c>
      <c r="I29" s="34">
        <v>24</v>
      </c>
      <c r="J29" s="35">
        <v>20</v>
      </c>
      <c r="K29" s="35">
        <v>0</v>
      </c>
      <c r="L29" s="38">
        <v>0</v>
      </c>
      <c r="M29" s="103">
        <f t="shared" si="1"/>
        <v>44</v>
      </c>
      <c r="N29" s="7">
        <f t="shared" si="0"/>
        <v>44000</v>
      </c>
      <c r="O29" s="48"/>
    </row>
    <row r="30" spans="1:15" ht="30.6" customHeight="1" thickBot="1">
      <c r="A30" s="326"/>
      <c r="B30" s="235" t="s">
        <v>103</v>
      </c>
      <c r="C30" s="5" t="s">
        <v>57</v>
      </c>
      <c r="D30" s="236">
        <v>0</v>
      </c>
      <c r="E30" s="237">
        <v>1</v>
      </c>
      <c r="F30" s="237">
        <v>24</v>
      </c>
      <c r="G30" s="238" t="s">
        <v>181</v>
      </c>
      <c r="H30" s="239">
        <f>'[1]Licence - moduly'!G32</f>
        <v>1</v>
      </c>
      <c r="I30" s="240">
        <v>16</v>
      </c>
      <c r="J30" s="236">
        <v>16</v>
      </c>
      <c r="K30" s="236">
        <v>0</v>
      </c>
      <c r="L30" s="237">
        <v>0</v>
      </c>
      <c r="M30" s="241">
        <f t="shared" si="1"/>
        <v>32</v>
      </c>
      <c r="N30" s="242">
        <f t="shared" si="0"/>
        <v>32000</v>
      </c>
      <c r="O30" s="48"/>
    </row>
    <row r="31" spans="1:15" ht="15" thickTop="1">
      <c r="A31" s="12"/>
      <c r="B31" s="319"/>
      <c r="C31" s="319"/>
      <c r="D31" s="307"/>
      <c r="E31" s="307"/>
      <c r="F31" s="307"/>
      <c r="G31" s="11"/>
      <c r="K31" s="306" t="s">
        <v>182</v>
      </c>
      <c r="L31" s="40"/>
      <c r="M31" s="40">
        <f>SUM(M2:M30)</f>
        <v>1122</v>
      </c>
      <c r="N31" s="11">
        <f>SUM(N2:N30)</f>
        <v>1122000</v>
      </c>
    </row>
    <row r="32" spans="1:15" ht="14.65" customHeight="1">
      <c r="K32" s="306" t="s">
        <v>183</v>
      </c>
      <c r="L32" s="307"/>
      <c r="M32" s="307">
        <f>M31*Koeficient_korekce</f>
        <v>1683</v>
      </c>
      <c r="N32" s="45">
        <f>N31*Koeficient_korekce</f>
        <v>1683000</v>
      </c>
    </row>
    <row r="33" spans="1:14" ht="14.65" customHeight="1">
      <c r="K33" s="306"/>
      <c r="L33" s="307"/>
      <c r="M33" s="307"/>
      <c r="N33" s="45"/>
    </row>
    <row r="34" spans="1:14" ht="99.75" customHeight="1">
      <c r="A34" s="322" t="s">
        <v>184</v>
      </c>
      <c r="B34" s="322"/>
      <c r="C34" s="322"/>
      <c r="D34" s="322"/>
      <c r="E34" s="322"/>
      <c r="F34" s="322"/>
      <c r="G34" s="322"/>
      <c r="H34" s="322"/>
      <c r="I34" s="322"/>
      <c r="J34" s="322"/>
      <c r="K34" s="322"/>
      <c r="L34" s="322"/>
      <c r="M34" s="322"/>
      <c r="N34" s="322"/>
    </row>
  </sheetData>
  <mergeCells count="10">
    <mergeCell ref="A34:N34"/>
    <mergeCell ref="A25:A27"/>
    <mergeCell ref="A28:A30"/>
    <mergeCell ref="B31:C31"/>
    <mergeCell ref="A2:A6"/>
    <mergeCell ref="A7:A11"/>
    <mergeCell ref="A12:A14"/>
    <mergeCell ref="A15:A17"/>
    <mergeCell ref="A18:A21"/>
    <mergeCell ref="A22:A24"/>
  </mergeCells>
  <conditionalFormatting sqref="H2:H30">
    <cfRule type="iconSet" priority="1">
      <iconSet iconSet="3Symbols" showValue="0">
        <cfvo type="percent" val="0"/>
        <cfvo type="percent" val="33"/>
        <cfvo type="percent" val="67"/>
      </iconSet>
    </cfRule>
  </conditionalFormatting>
  <pageMargins left="0.7" right="0.7" top="0.78740157499999996" bottom="0.78740157499999996" header="0.3" footer="0.3"/>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A36"/>
  <sheetViews>
    <sheetView topLeftCell="M1" workbookViewId="0">
      <pane ySplit="1" topLeftCell="A3" activePane="bottomLeft" state="frozen"/>
      <selection pane="bottomLeft" activeCell="AD23" sqref="AD23"/>
    </sheetView>
  </sheetViews>
  <sheetFormatPr defaultRowHeight="14.45"/>
  <cols>
    <col min="2" max="2" width="18.7109375" bestFit="1" customWidth="1"/>
    <col min="3" max="3" width="9.28515625" customWidth="1"/>
    <col min="4" max="4" width="12.28515625" customWidth="1"/>
    <col min="5" max="5" width="7.7109375" customWidth="1"/>
    <col min="6" max="6" width="7" customWidth="1"/>
    <col min="7" max="7" width="27.42578125" customWidth="1"/>
    <col min="8" max="8" width="11.28515625" customWidth="1"/>
    <col min="9" max="9" width="17.28515625" customWidth="1"/>
    <col min="10" max="11" width="15.7109375" customWidth="1"/>
    <col min="12" max="12" width="13.28515625" bestFit="1" customWidth="1"/>
    <col min="13" max="14" width="14" customWidth="1"/>
    <col min="15" max="15" width="13.5703125" bestFit="1" customWidth="1"/>
    <col min="16" max="17" width="13.5703125" customWidth="1"/>
    <col min="18" max="18" width="10.5703125" bestFit="1" customWidth="1"/>
    <col min="19" max="20" width="13.7109375" customWidth="1"/>
    <col min="21" max="21" width="13.5703125" customWidth="1"/>
    <col min="22" max="22" width="14.42578125" customWidth="1"/>
    <col min="23" max="23" width="13.5703125" customWidth="1"/>
    <col min="24" max="24" width="12.5703125" customWidth="1"/>
    <col min="26" max="26" width="12.28515625" customWidth="1"/>
  </cols>
  <sheetData>
    <row r="1" spans="1:27" ht="31.5" customHeight="1" thickTop="1">
      <c r="A1" s="2"/>
      <c r="B1" s="6" t="s">
        <v>161</v>
      </c>
      <c r="C1" s="22" t="s">
        <v>49</v>
      </c>
      <c r="D1" s="23" t="s">
        <v>162</v>
      </c>
      <c r="E1" s="23" t="s">
        <v>163</v>
      </c>
      <c r="F1" s="23" t="s">
        <v>164</v>
      </c>
      <c r="G1" s="28" t="s">
        <v>165</v>
      </c>
      <c r="H1" s="31" t="s">
        <v>166</v>
      </c>
      <c r="I1" s="136" t="s">
        <v>167</v>
      </c>
      <c r="J1" s="138" t="s">
        <v>185</v>
      </c>
      <c r="K1" s="138" t="s">
        <v>186</v>
      </c>
      <c r="L1" s="137" t="s">
        <v>168</v>
      </c>
      <c r="M1" s="138" t="s">
        <v>187</v>
      </c>
      <c r="N1" s="138" t="s">
        <v>188</v>
      </c>
      <c r="O1" s="137" t="s">
        <v>169</v>
      </c>
      <c r="P1" s="138" t="s">
        <v>189</v>
      </c>
      <c r="Q1" s="138" t="s">
        <v>190</v>
      </c>
      <c r="R1" s="137" t="s">
        <v>170</v>
      </c>
      <c r="S1" s="138" t="s">
        <v>191</v>
      </c>
      <c r="T1" s="138" t="s">
        <v>192</v>
      </c>
      <c r="U1" s="136" t="s">
        <v>171</v>
      </c>
      <c r="V1" s="138" t="s">
        <v>193</v>
      </c>
      <c r="W1" s="138" t="s">
        <v>194</v>
      </c>
      <c r="X1" s="28" t="s">
        <v>195</v>
      </c>
      <c r="Z1" s="42"/>
    </row>
    <row r="2" spans="1:27" ht="25.15" customHeight="1">
      <c r="A2" s="314" t="s">
        <v>55</v>
      </c>
      <c r="B2" s="9" t="s">
        <v>56</v>
      </c>
      <c r="C2" s="3" t="s">
        <v>57</v>
      </c>
      <c r="D2" s="16">
        <v>0</v>
      </c>
      <c r="E2" s="16">
        <v>8</v>
      </c>
      <c r="F2" s="16">
        <v>16</v>
      </c>
      <c r="G2" s="14"/>
      <c r="H2" s="21">
        <f>'Licence - moduly'!G4</f>
        <v>1</v>
      </c>
      <c r="I2" s="34">
        <f>'Moduly - práce celkem'!I2</f>
        <v>16</v>
      </c>
      <c r="J2" s="139">
        <v>16</v>
      </c>
      <c r="K2" s="139">
        <v>0</v>
      </c>
      <c r="L2" s="35">
        <f>'Moduly - práce celkem'!J2</f>
        <v>16</v>
      </c>
      <c r="M2" s="139">
        <v>16</v>
      </c>
      <c r="N2" s="139">
        <v>0</v>
      </c>
      <c r="O2" s="35">
        <f>'Moduly - práce celkem'!K2</f>
        <v>0</v>
      </c>
      <c r="P2" s="139">
        <v>0</v>
      </c>
      <c r="Q2" s="139">
        <v>0</v>
      </c>
      <c r="R2" s="38">
        <f>'Moduly - práce celkem'!L2</f>
        <v>4</v>
      </c>
      <c r="S2" s="143">
        <v>4</v>
      </c>
      <c r="T2" s="139">
        <v>0</v>
      </c>
      <c r="U2" s="34">
        <f t="shared" ref="U2:U30" si="0">I2+L2+O2+R2</f>
        <v>36</v>
      </c>
      <c r="V2" s="188">
        <f t="shared" ref="V2:V30" si="1">M2*Analýza+J2*Konfigurace__vývoj+P2*Migrace+S2*Práva</f>
        <v>36000</v>
      </c>
      <c r="W2" s="189">
        <f t="shared" ref="W2:W30" si="2">N2*Analýza+K2*Konfigurace__vývoj+Q2*Migrace+T2*Práva</f>
        <v>0</v>
      </c>
      <c r="X2" s="7">
        <f t="shared" ref="X2:X30" si="3">L2*Analýza+I2*Konfigurace__vývoj+O2*Migrace+R2*Práva</f>
        <v>36000</v>
      </c>
      <c r="Y2" s="48"/>
      <c r="Z2" s="42"/>
      <c r="AA2" s="43"/>
    </row>
    <row r="3" spans="1:27" ht="29.1" customHeight="1">
      <c r="A3" s="314"/>
      <c r="B3" s="9" t="s">
        <v>58</v>
      </c>
      <c r="C3" s="3" t="s">
        <v>57</v>
      </c>
      <c r="D3" s="16">
        <v>0</v>
      </c>
      <c r="E3" s="16">
        <v>8</v>
      </c>
      <c r="F3" s="16">
        <v>32</v>
      </c>
      <c r="G3" s="14"/>
      <c r="H3" s="21">
        <f>'Licence - moduly'!G5</f>
        <v>1</v>
      </c>
      <c r="I3" s="34">
        <f>'Moduly - práce celkem'!I3</f>
        <v>24</v>
      </c>
      <c r="J3" s="139">
        <v>24</v>
      </c>
      <c r="K3" s="139">
        <v>0</v>
      </c>
      <c r="L3" s="35">
        <f>'Moduly - práce celkem'!J3</f>
        <v>20</v>
      </c>
      <c r="M3" s="139">
        <v>20</v>
      </c>
      <c r="N3" s="139">
        <v>0</v>
      </c>
      <c r="O3" s="35">
        <f>'Moduly - práce celkem'!K3</f>
        <v>0</v>
      </c>
      <c r="P3" s="139">
        <v>0</v>
      </c>
      <c r="Q3" s="139">
        <v>0</v>
      </c>
      <c r="R3" s="38">
        <f>'Moduly - práce celkem'!L3</f>
        <v>4</v>
      </c>
      <c r="S3" s="143">
        <v>4</v>
      </c>
      <c r="T3" s="139">
        <v>0</v>
      </c>
      <c r="U3" s="34">
        <f t="shared" si="0"/>
        <v>48</v>
      </c>
      <c r="V3" s="188">
        <f t="shared" si="1"/>
        <v>48000</v>
      </c>
      <c r="W3" s="189">
        <f t="shared" si="2"/>
        <v>0</v>
      </c>
      <c r="X3" s="7">
        <f t="shared" si="3"/>
        <v>48000</v>
      </c>
      <c r="Y3" s="48"/>
      <c r="Z3" s="42"/>
      <c r="AA3" s="43"/>
    </row>
    <row r="4" spans="1:27" ht="25.15" customHeight="1">
      <c r="A4" s="314"/>
      <c r="B4" s="9" t="s">
        <v>59</v>
      </c>
      <c r="C4" s="4" t="s">
        <v>60</v>
      </c>
      <c r="D4" s="16">
        <v>0</v>
      </c>
      <c r="E4" s="16">
        <v>4</v>
      </c>
      <c r="F4" s="16">
        <v>8</v>
      </c>
      <c r="G4" s="14"/>
      <c r="H4" s="21">
        <f>'Licence - moduly'!G6</f>
        <v>0</v>
      </c>
      <c r="I4" s="34">
        <f>'Moduly - práce celkem'!I4</f>
        <v>0</v>
      </c>
      <c r="J4" s="139">
        <v>0</v>
      </c>
      <c r="K4" s="139">
        <v>0</v>
      </c>
      <c r="L4" s="35">
        <f>'Moduly - práce celkem'!J4</f>
        <v>0</v>
      </c>
      <c r="M4" s="143">
        <v>0</v>
      </c>
      <c r="N4" s="143">
        <v>0</v>
      </c>
      <c r="O4" s="35">
        <f>'Moduly - práce celkem'!K4</f>
        <v>0</v>
      </c>
      <c r="P4" s="147">
        <v>0</v>
      </c>
      <c r="Q4" s="147">
        <v>0</v>
      </c>
      <c r="R4" s="38">
        <f>'Moduly - práce celkem'!L4</f>
        <v>0</v>
      </c>
      <c r="S4" s="147">
        <v>0</v>
      </c>
      <c r="T4" s="147">
        <v>0</v>
      </c>
      <c r="U4" s="38">
        <f t="shared" si="0"/>
        <v>0</v>
      </c>
      <c r="V4" s="188">
        <f t="shared" si="1"/>
        <v>0</v>
      </c>
      <c r="W4" s="190">
        <f t="shared" si="2"/>
        <v>0</v>
      </c>
      <c r="X4" s="7">
        <f t="shared" si="3"/>
        <v>0</v>
      </c>
      <c r="Y4" s="48"/>
      <c r="Z4" s="42"/>
      <c r="AA4" s="43"/>
    </row>
    <row r="5" spans="1:27" ht="25.15" customHeight="1">
      <c r="A5" s="314"/>
      <c r="B5" s="9" t="s">
        <v>62</v>
      </c>
      <c r="C5" s="3" t="s">
        <v>57</v>
      </c>
      <c r="D5" s="16">
        <v>0</v>
      </c>
      <c r="E5" s="16">
        <v>4</v>
      </c>
      <c r="F5" s="16">
        <v>8</v>
      </c>
      <c r="G5" s="14"/>
      <c r="H5" s="21">
        <f>'Licence - moduly'!G7</f>
        <v>1</v>
      </c>
      <c r="I5" s="34">
        <f>'Moduly - práce celkem'!I5</f>
        <v>8</v>
      </c>
      <c r="J5" s="139">
        <v>8</v>
      </c>
      <c r="K5" s="139">
        <v>0</v>
      </c>
      <c r="L5" s="35">
        <f>'Moduly - práce celkem'!J5</f>
        <v>8</v>
      </c>
      <c r="M5" s="143">
        <v>8</v>
      </c>
      <c r="N5" s="143">
        <v>0</v>
      </c>
      <c r="O5" s="35">
        <f>'Moduly - práce celkem'!K5</f>
        <v>0</v>
      </c>
      <c r="P5" s="147">
        <v>0</v>
      </c>
      <c r="Q5" s="147">
        <v>0</v>
      </c>
      <c r="R5" s="38">
        <f>'Moduly - práce celkem'!L5</f>
        <v>2</v>
      </c>
      <c r="S5" s="147">
        <v>2</v>
      </c>
      <c r="T5" s="147">
        <v>0</v>
      </c>
      <c r="U5" s="38">
        <f t="shared" si="0"/>
        <v>18</v>
      </c>
      <c r="V5" s="188">
        <f t="shared" si="1"/>
        <v>18000</v>
      </c>
      <c r="W5" s="190">
        <f t="shared" si="2"/>
        <v>0</v>
      </c>
      <c r="X5" s="7">
        <f t="shared" si="3"/>
        <v>18000</v>
      </c>
      <c r="Y5" s="48"/>
      <c r="Z5" s="42"/>
      <c r="AA5" s="43"/>
    </row>
    <row r="6" spans="1:27" ht="31.15" customHeight="1" thickBot="1">
      <c r="A6" s="315"/>
      <c r="B6" s="10" t="s">
        <v>63</v>
      </c>
      <c r="C6" s="90" t="s">
        <v>60</v>
      </c>
      <c r="D6" s="18">
        <v>0</v>
      </c>
      <c r="E6" s="18">
        <v>8</v>
      </c>
      <c r="F6" s="18">
        <v>16</v>
      </c>
      <c r="G6" s="91"/>
      <c r="H6" s="27">
        <f>'Licence - moduly'!G8</f>
        <v>0</v>
      </c>
      <c r="I6" s="36">
        <f>'Moduly - práce celkem'!I6</f>
        <v>0</v>
      </c>
      <c r="J6" s="140">
        <v>0</v>
      </c>
      <c r="K6" s="140">
        <v>0</v>
      </c>
      <c r="L6" s="37">
        <f>'Moduly - práce celkem'!J6</f>
        <v>0</v>
      </c>
      <c r="M6" s="144">
        <v>0</v>
      </c>
      <c r="N6" s="144">
        <v>0</v>
      </c>
      <c r="O6" s="37">
        <f>'Moduly - práce celkem'!K6</f>
        <v>0</v>
      </c>
      <c r="P6" s="148">
        <v>0</v>
      </c>
      <c r="Q6" s="148">
        <v>0</v>
      </c>
      <c r="R6" s="39">
        <f>'Moduly - práce celkem'!L6</f>
        <v>0</v>
      </c>
      <c r="S6" s="148">
        <v>0</v>
      </c>
      <c r="T6" s="148">
        <v>0</v>
      </c>
      <c r="U6" s="39">
        <f t="shared" si="0"/>
        <v>0</v>
      </c>
      <c r="V6" s="191">
        <f t="shared" si="1"/>
        <v>0</v>
      </c>
      <c r="W6" s="191">
        <f t="shared" si="2"/>
        <v>0</v>
      </c>
      <c r="X6" s="8">
        <f t="shared" si="3"/>
        <v>0</v>
      </c>
      <c r="Y6" s="48"/>
      <c r="Z6" s="42"/>
      <c r="AA6" s="43"/>
    </row>
    <row r="7" spans="1:27" ht="31.15" customHeight="1" thickTop="1">
      <c r="A7" s="333" t="s">
        <v>65</v>
      </c>
      <c r="B7" s="92" t="s">
        <v>66</v>
      </c>
      <c r="C7" s="93" t="s">
        <v>57</v>
      </c>
      <c r="D7" s="94">
        <v>0</v>
      </c>
      <c r="E7" s="94">
        <v>4</v>
      </c>
      <c r="F7" s="94">
        <v>8</v>
      </c>
      <c r="G7" s="95"/>
      <c r="H7" s="63">
        <f>'Licence - moduly'!G9</f>
        <v>1</v>
      </c>
      <c r="I7" s="96">
        <f>'Moduly - práce celkem'!I7</f>
        <v>8</v>
      </c>
      <c r="J7" s="141">
        <v>8</v>
      </c>
      <c r="K7" s="141">
        <v>0</v>
      </c>
      <c r="L7" s="97">
        <f>'Moduly - práce celkem'!J7</f>
        <v>8</v>
      </c>
      <c r="M7" s="145">
        <v>8</v>
      </c>
      <c r="N7" s="145">
        <v>0</v>
      </c>
      <c r="O7" s="97">
        <f>'Moduly - práce celkem'!K7</f>
        <v>4</v>
      </c>
      <c r="P7" s="149">
        <v>4</v>
      </c>
      <c r="Q7" s="149">
        <v>0</v>
      </c>
      <c r="R7" s="98">
        <f>'Moduly - práce celkem'!L7</f>
        <v>2</v>
      </c>
      <c r="S7" s="145">
        <v>2</v>
      </c>
      <c r="T7" s="149">
        <v>0</v>
      </c>
      <c r="U7" s="98">
        <f t="shared" si="0"/>
        <v>22</v>
      </c>
      <c r="V7" s="188">
        <f t="shared" si="1"/>
        <v>22000</v>
      </c>
      <c r="W7" s="192">
        <f t="shared" si="2"/>
        <v>0</v>
      </c>
      <c r="X7" s="89">
        <f t="shared" si="3"/>
        <v>22000</v>
      </c>
      <c r="Y7" s="48"/>
      <c r="Z7" s="42"/>
      <c r="AA7" s="44"/>
    </row>
    <row r="8" spans="1:27" ht="25.15" customHeight="1">
      <c r="A8" s="314"/>
      <c r="B8" s="9" t="s">
        <v>67</v>
      </c>
      <c r="C8" s="3" t="s">
        <v>57</v>
      </c>
      <c r="D8" s="16">
        <v>0</v>
      </c>
      <c r="E8" s="16">
        <v>4</v>
      </c>
      <c r="F8" s="16">
        <v>8</v>
      </c>
      <c r="G8" s="14"/>
      <c r="H8" s="21">
        <f>'Licence - moduly'!G10</f>
        <v>1</v>
      </c>
      <c r="I8" s="34">
        <f>'Moduly - práce celkem'!I8</f>
        <v>8</v>
      </c>
      <c r="J8" s="139">
        <v>8</v>
      </c>
      <c r="K8" s="139">
        <v>0</v>
      </c>
      <c r="L8" s="35">
        <f>'Moduly - práce celkem'!J8</f>
        <v>8</v>
      </c>
      <c r="M8" s="139">
        <v>8</v>
      </c>
      <c r="N8" s="139">
        <v>0</v>
      </c>
      <c r="O8" s="35">
        <f>'Moduly - práce celkem'!K8</f>
        <v>4</v>
      </c>
      <c r="P8" s="139">
        <v>4</v>
      </c>
      <c r="Q8" s="139">
        <v>0</v>
      </c>
      <c r="R8" s="38">
        <f>'Moduly - práce celkem'!L8</f>
        <v>2</v>
      </c>
      <c r="S8" s="143">
        <v>2</v>
      </c>
      <c r="T8" s="143">
        <v>0</v>
      </c>
      <c r="U8" s="35">
        <f t="shared" si="0"/>
        <v>22</v>
      </c>
      <c r="V8" s="188">
        <f t="shared" si="1"/>
        <v>22000</v>
      </c>
      <c r="W8" s="190">
        <f t="shared" si="2"/>
        <v>0</v>
      </c>
      <c r="X8" s="7">
        <f t="shared" si="3"/>
        <v>22000</v>
      </c>
      <c r="Y8" s="48"/>
    </row>
    <row r="9" spans="1:27" ht="25.15" customHeight="1">
      <c r="A9" s="314"/>
      <c r="B9" s="9" t="s">
        <v>68</v>
      </c>
      <c r="C9" s="4" t="s">
        <v>60</v>
      </c>
      <c r="D9" s="16">
        <v>0</v>
      </c>
      <c r="E9" s="16">
        <v>8</v>
      </c>
      <c r="F9" s="16">
        <v>32</v>
      </c>
      <c r="G9" s="14"/>
      <c r="H9" s="21">
        <f>'Licence - moduly'!G11</f>
        <v>1</v>
      </c>
      <c r="I9" s="34">
        <f>'Moduly - práce celkem'!I9</f>
        <v>32</v>
      </c>
      <c r="J9" s="139">
        <v>32</v>
      </c>
      <c r="K9" s="139">
        <v>0</v>
      </c>
      <c r="L9" s="35">
        <f>'Moduly - práce celkem'!J9</f>
        <v>28</v>
      </c>
      <c r="M9" s="139">
        <v>28</v>
      </c>
      <c r="N9" s="139">
        <v>0</v>
      </c>
      <c r="O9" s="35">
        <f>'Moduly - práce celkem'!K9</f>
        <v>8</v>
      </c>
      <c r="P9" s="139">
        <v>8</v>
      </c>
      <c r="Q9" s="139">
        <v>0</v>
      </c>
      <c r="R9" s="38">
        <f>'Moduly - práce celkem'!L9</f>
        <v>8</v>
      </c>
      <c r="S9" s="143">
        <v>8</v>
      </c>
      <c r="T9" s="143">
        <v>0</v>
      </c>
      <c r="U9" s="35">
        <f t="shared" si="0"/>
        <v>76</v>
      </c>
      <c r="V9" s="188">
        <f t="shared" si="1"/>
        <v>76000</v>
      </c>
      <c r="W9" s="190">
        <f t="shared" si="2"/>
        <v>0</v>
      </c>
      <c r="X9" s="7">
        <f t="shared" si="3"/>
        <v>76000</v>
      </c>
      <c r="Y9" s="48"/>
    </row>
    <row r="10" spans="1:27" ht="25.15" customHeight="1">
      <c r="A10" s="314"/>
      <c r="B10" s="9" t="s">
        <v>69</v>
      </c>
      <c r="C10" s="3" t="s">
        <v>57</v>
      </c>
      <c r="D10" s="16">
        <v>0</v>
      </c>
      <c r="E10" s="16">
        <v>8</v>
      </c>
      <c r="F10" s="16">
        <v>24</v>
      </c>
      <c r="G10" s="14"/>
      <c r="H10" s="21">
        <f>'Licence - moduly'!G12</f>
        <v>1</v>
      </c>
      <c r="I10" s="34">
        <f>'Moduly - práce celkem'!I10</f>
        <v>24</v>
      </c>
      <c r="J10" s="139">
        <v>24</v>
      </c>
      <c r="K10" s="139">
        <v>0</v>
      </c>
      <c r="L10" s="35">
        <f>'Moduly - práce celkem'!J10</f>
        <v>24</v>
      </c>
      <c r="M10" s="139">
        <v>24</v>
      </c>
      <c r="N10" s="139">
        <v>0</v>
      </c>
      <c r="O10" s="35">
        <f>'Moduly - práce celkem'!K10</f>
        <v>8</v>
      </c>
      <c r="P10" s="139">
        <v>8</v>
      </c>
      <c r="Q10" s="139">
        <v>0</v>
      </c>
      <c r="R10" s="38">
        <f>'Moduly - práce celkem'!L10</f>
        <v>4</v>
      </c>
      <c r="S10" s="143">
        <v>4</v>
      </c>
      <c r="T10" s="143">
        <v>0</v>
      </c>
      <c r="U10" s="35">
        <f t="shared" si="0"/>
        <v>60</v>
      </c>
      <c r="V10" s="188">
        <f t="shared" si="1"/>
        <v>60000</v>
      </c>
      <c r="W10" s="190">
        <f t="shared" si="2"/>
        <v>0</v>
      </c>
      <c r="X10" s="7">
        <f t="shared" si="3"/>
        <v>60000</v>
      </c>
      <c r="Y10" s="48"/>
    </row>
    <row r="11" spans="1:27" ht="50.1" customHeight="1" thickBot="1">
      <c r="A11" s="315"/>
      <c r="B11" s="10" t="s">
        <v>70</v>
      </c>
      <c r="C11" s="90" t="s">
        <v>60</v>
      </c>
      <c r="D11" s="18">
        <v>8</v>
      </c>
      <c r="E11" s="18">
        <v>8</v>
      </c>
      <c r="F11" s="18">
        <v>80</v>
      </c>
      <c r="G11" s="47" t="s">
        <v>172</v>
      </c>
      <c r="H11" s="27">
        <f>'Licence - moduly'!G13</f>
        <v>0</v>
      </c>
      <c r="I11" s="36">
        <f>'Moduly - práce celkem'!I11</f>
        <v>0</v>
      </c>
      <c r="J11" s="140">
        <v>0</v>
      </c>
      <c r="K11" s="140">
        <v>0</v>
      </c>
      <c r="L11" s="37">
        <f>'Moduly - práce celkem'!J11</f>
        <v>0</v>
      </c>
      <c r="M11" s="140">
        <v>0</v>
      </c>
      <c r="N11" s="140">
        <v>0</v>
      </c>
      <c r="O11" s="37">
        <f>'Moduly - práce celkem'!K11</f>
        <v>0</v>
      </c>
      <c r="P11" s="140">
        <v>0</v>
      </c>
      <c r="Q11" s="140">
        <v>0</v>
      </c>
      <c r="R11" s="39">
        <f>'Moduly - práce celkem'!L11</f>
        <v>0</v>
      </c>
      <c r="S11" s="144">
        <v>0</v>
      </c>
      <c r="T11" s="144">
        <v>0</v>
      </c>
      <c r="U11" s="37">
        <f t="shared" si="0"/>
        <v>0</v>
      </c>
      <c r="V11" s="191">
        <f t="shared" si="1"/>
        <v>0</v>
      </c>
      <c r="W11" s="191">
        <f t="shared" si="2"/>
        <v>0</v>
      </c>
      <c r="X11" s="8">
        <f t="shared" si="3"/>
        <v>0</v>
      </c>
      <c r="Y11" s="48"/>
    </row>
    <row r="12" spans="1:27" ht="25.15" customHeight="1" thickTop="1">
      <c r="A12" s="325" t="s">
        <v>72</v>
      </c>
      <c r="B12" s="92" t="s">
        <v>73</v>
      </c>
      <c r="C12" s="93" t="s">
        <v>57</v>
      </c>
      <c r="D12" s="94">
        <v>0</v>
      </c>
      <c r="E12" s="94">
        <v>1</v>
      </c>
      <c r="F12" s="94">
        <v>16</v>
      </c>
      <c r="G12" s="95"/>
      <c r="H12" s="63">
        <f>'Licence - moduly'!G14</f>
        <v>1</v>
      </c>
      <c r="I12" s="96">
        <f>'Moduly - práce celkem'!I12</f>
        <v>16</v>
      </c>
      <c r="J12" s="141">
        <v>16</v>
      </c>
      <c r="K12" s="141">
        <v>0</v>
      </c>
      <c r="L12" s="97">
        <f>'Moduly - práce celkem'!J12</f>
        <v>16</v>
      </c>
      <c r="M12" s="145">
        <v>16</v>
      </c>
      <c r="N12" s="141">
        <v>0</v>
      </c>
      <c r="O12" s="97">
        <f>'Moduly - práce celkem'!K12</f>
        <v>4</v>
      </c>
      <c r="P12" s="149">
        <v>4</v>
      </c>
      <c r="Q12" s="145">
        <v>0</v>
      </c>
      <c r="R12" s="98">
        <f>'Moduly - práce celkem'!L12</f>
        <v>4</v>
      </c>
      <c r="S12" s="145">
        <v>4</v>
      </c>
      <c r="T12" s="145">
        <v>0</v>
      </c>
      <c r="U12" s="97">
        <f t="shared" si="0"/>
        <v>40</v>
      </c>
      <c r="V12" s="188">
        <f t="shared" si="1"/>
        <v>40000</v>
      </c>
      <c r="W12" s="192">
        <f t="shared" si="2"/>
        <v>0</v>
      </c>
      <c r="X12" s="89">
        <f t="shared" si="3"/>
        <v>40000</v>
      </c>
      <c r="Y12" s="48"/>
    </row>
    <row r="13" spans="1:27" ht="25.15" customHeight="1">
      <c r="A13" s="320"/>
      <c r="B13" s="9" t="s">
        <v>75</v>
      </c>
      <c r="C13" s="3" t="s">
        <v>57</v>
      </c>
      <c r="D13" s="16">
        <v>0</v>
      </c>
      <c r="E13" s="16">
        <v>1</v>
      </c>
      <c r="F13" s="16">
        <v>8</v>
      </c>
      <c r="G13" s="14"/>
      <c r="H13" s="21">
        <f>'Licence - moduly'!G15</f>
        <v>1</v>
      </c>
      <c r="I13" s="34">
        <f>'Moduly - práce celkem'!I13</f>
        <v>8</v>
      </c>
      <c r="J13" s="139">
        <v>8</v>
      </c>
      <c r="K13" s="139">
        <v>0</v>
      </c>
      <c r="L13" s="35">
        <f>'Moduly - práce celkem'!J13</f>
        <v>8</v>
      </c>
      <c r="M13" s="143">
        <v>8</v>
      </c>
      <c r="N13" s="139">
        <v>0</v>
      </c>
      <c r="O13" s="35">
        <f>'Moduly - práce celkem'!K13</f>
        <v>0</v>
      </c>
      <c r="P13" s="147">
        <v>0</v>
      </c>
      <c r="Q13" s="143">
        <v>0</v>
      </c>
      <c r="R13" s="38">
        <f>'Moduly - práce celkem'!L13</f>
        <v>4</v>
      </c>
      <c r="S13" s="143">
        <v>4</v>
      </c>
      <c r="T13" s="143">
        <v>0</v>
      </c>
      <c r="U13" s="35">
        <f t="shared" si="0"/>
        <v>20</v>
      </c>
      <c r="V13" s="188">
        <f t="shared" si="1"/>
        <v>20000</v>
      </c>
      <c r="W13" s="190">
        <f t="shared" si="2"/>
        <v>0</v>
      </c>
      <c r="X13" s="7">
        <f t="shared" si="3"/>
        <v>20000</v>
      </c>
      <c r="Y13" s="48"/>
    </row>
    <row r="14" spans="1:27" ht="25.15" customHeight="1" thickBot="1">
      <c r="A14" s="320"/>
      <c r="B14" s="10" t="s">
        <v>76</v>
      </c>
      <c r="C14" s="90" t="s">
        <v>60</v>
      </c>
      <c r="D14" s="18">
        <v>0</v>
      </c>
      <c r="E14" s="18">
        <v>8</v>
      </c>
      <c r="F14" s="18">
        <v>24</v>
      </c>
      <c r="G14" s="91"/>
      <c r="H14" s="27">
        <v>1</v>
      </c>
      <c r="I14" s="36">
        <f>'Moduly - práce celkem'!I14</f>
        <v>24</v>
      </c>
      <c r="J14" s="140">
        <v>24</v>
      </c>
      <c r="K14" s="140">
        <v>0</v>
      </c>
      <c r="L14" s="37">
        <f>'Moduly - práce celkem'!J14</f>
        <v>20</v>
      </c>
      <c r="M14" s="144">
        <v>20</v>
      </c>
      <c r="N14" s="144">
        <v>0</v>
      </c>
      <c r="O14" s="37">
        <f>'Moduly - práce celkem'!K14</f>
        <v>0</v>
      </c>
      <c r="P14" s="148">
        <v>0</v>
      </c>
      <c r="Q14" s="148">
        <v>0</v>
      </c>
      <c r="R14" s="39">
        <f>'Moduly - práce celkem'!L14</f>
        <v>4</v>
      </c>
      <c r="S14" s="144">
        <v>4</v>
      </c>
      <c r="T14" s="144">
        <v>0</v>
      </c>
      <c r="U14" s="37">
        <f t="shared" si="0"/>
        <v>48</v>
      </c>
      <c r="V14" s="191">
        <f t="shared" si="1"/>
        <v>48000</v>
      </c>
      <c r="W14" s="191">
        <f t="shared" si="2"/>
        <v>0</v>
      </c>
      <c r="X14" s="8">
        <f t="shared" si="3"/>
        <v>48000</v>
      </c>
      <c r="Y14" s="48"/>
    </row>
    <row r="15" spans="1:27" ht="25.15" customHeight="1" thickTop="1">
      <c r="A15" s="320" t="s">
        <v>77</v>
      </c>
      <c r="B15" s="82" t="s">
        <v>78</v>
      </c>
      <c r="C15" s="83" t="s">
        <v>57</v>
      </c>
      <c r="D15" s="84">
        <v>0</v>
      </c>
      <c r="E15" s="84">
        <v>1</v>
      </c>
      <c r="F15" s="84">
        <v>8</v>
      </c>
      <c r="G15" s="85"/>
      <c r="H15" s="65">
        <f>'Licence - moduly'!G17</f>
        <v>1</v>
      </c>
      <c r="I15" s="86">
        <f>'Moduly - práce celkem'!I15</f>
        <v>8</v>
      </c>
      <c r="J15" s="142">
        <v>8</v>
      </c>
      <c r="K15" s="142">
        <v>0</v>
      </c>
      <c r="L15" s="87">
        <f>'Moduly - práce celkem'!J15</f>
        <v>8</v>
      </c>
      <c r="M15" s="146">
        <v>8</v>
      </c>
      <c r="N15" s="146">
        <v>0</v>
      </c>
      <c r="O15" s="87">
        <f>'Moduly - práce celkem'!K15</f>
        <v>0</v>
      </c>
      <c r="P15" s="150">
        <v>0</v>
      </c>
      <c r="Q15" s="150">
        <v>0</v>
      </c>
      <c r="R15" s="88">
        <f>'Moduly - práce celkem'!L15</f>
        <v>4</v>
      </c>
      <c r="S15" s="143">
        <v>4</v>
      </c>
      <c r="T15" s="143">
        <v>0</v>
      </c>
      <c r="U15" s="35">
        <f t="shared" si="0"/>
        <v>20</v>
      </c>
      <c r="V15" s="188">
        <f t="shared" si="1"/>
        <v>20000</v>
      </c>
      <c r="W15" s="193">
        <f t="shared" si="2"/>
        <v>0</v>
      </c>
      <c r="X15" s="89">
        <f t="shared" si="3"/>
        <v>20000</v>
      </c>
      <c r="Y15" s="48"/>
    </row>
    <row r="16" spans="1:27" ht="25.15" customHeight="1">
      <c r="A16" s="320"/>
      <c r="B16" s="9" t="s">
        <v>79</v>
      </c>
      <c r="C16" s="4" t="s">
        <v>60</v>
      </c>
      <c r="D16" s="16">
        <v>0</v>
      </c>
      <c r="E16" s="16">
        <v>8</v>
      </c>
      <c r="F16" s="16">
        <v>32</v>
      </c>
      <c r="G16" s="14"/>
      <c r="H16" s="21">
        <f>'Licence - moduly'!G18</f>
        <v>0</v>
      </c>
      <c r="I16" s="34">
        <f>'Moduly - práce celkem'!I16</f>
        <v>0</v>
      </c>
      <c r="J16" s="139">
        <v>0</v>
      </c>
      <c r="K16" s="139">
        <v>0</v>
      </c>
      <c r="L16" s="35">
        <f>'Moduly - práce celkem'!J16</f>
        <v>0</v>
      </c>
      <c r="M16" s="139">
        <v>0</v>
      </c>
      <c r="N16" s="139">
        <v>0</v>
      </c>
      <c r="O16" s="35">
        <f>'Moduly - práce celkem'!K16</f>
        <v>0</v>
      </c>
      <c r="P16" s="139">
        <v>0</v>
      </c>
      <c r="Q16" s="139">
        <v>0</v>
      </c>
      <c r="R16" s="38">
        <f>'Moduly - práce celkem'!L16</f>
        <v>0</v>
      </c>
      <c r="S16" s="143">
        <v>0</v>
      </c>
      <c r="T16" s="143">
        <v>0</v>
      </c>
      <c r="U16" s="35">
        <f t="shared" si="0"/>
        <v>0</v>
      </c>
      <c r="V16" s="188">
        <f t="shared" si="1"/>
        <v>0</v>
      </c>
      <c r="W16" s="190">
        <f t="shared" si="2"/>
        <v>0</v>
      </c>
      <c r="X16" s="7">
        <f t="shared" si="3"/>
        <v>0</v>
      </c>
      <c r="Y16" s="48"/>
    </row>
    <row r="17" spans="1:25" ht="25.15" customHeight="1" thickBot="1">
      <c r="A17" s="321"/>
      <c r="B17" s="10" t="s">
        <v>81</v>
      </c>
      <c r="C17" s="90" t="s">
        <v>60</v>
      </c>
      <c r="D17" s="18">
        <v>0</v>
      </c>
      <c r="E17" s="18">
        <v>8</v>
      </c>
      <c r="F17" s="18">
        <v>32</v>
      </c>
      <c r="G17" s="91"/>
      <c r="H17" s="27">
        <f>'Licence - moduly'!G19</f>
        <v>0</v>
      </c>
      <c r="I17" s="36">
        <f>'Moduly - práce celkem'!I17</f>
        <v>0</v>
      </c>
      <c r="J17" s="140">
        <v>0</v>
      </c>
      <c r="K17" s="140">
        <v>0</v>
      </c>
      <c r="L17" s="37">
        <f>'Moduly - práce celkem'!J17</f>
        <v>0</v>
      </c>
      <c r="M17" s="140">
        <v>0</v>
      </c>
      <c r="N17" s="140">
        <v>0</v>
      </c>
      <c r="O17" s="37">
        <f>'Moduly - práce celkem'!K17</f>
        <v>0</v>
      </c>
      <c r="P17" s="140">
        <v>0</v>
      </c>
      <c r="Q17" s="140">
        <v>0</v>
      </c>
      <c r="R17" s="39">
        <f>'Moduly - práce celkem'!L17</f>
        <v>0</v>
      </c>
      <c r="S17" s="144">
        <v>0</v>
      </c>
      <c r="T17" s="144">
        <v>0</v>
      </c>
      <c r="U17" s="37">
        <f t="shared" si="0"/>
        <v>0</v>
      </c>
      <c r="V17" s="191">
        <f t="shared" si="1"/>
        <v>0</v>
      </c>
      <c r="W17" s="191">
        <f t="shared" si="2"/>
        <v>0</v>
      </c>
      <c r="X17" s="8">
        <f t="shared" si="3"/>
        <v>0</v>
      </c>
      <c r="Y17" s="48"/>
    </row>
    <row r="18" spans="1:25" ht="25.15" customHeight="1" thickTop="1">
      <c r="A18" s="330" t="s">
        <v>83</v>
      </c>
      <c r="B18" s="92" t="s">
        <v>84</v>
      </c>
      <c r="C18" s="99" t="s">
        <v>60</v>
      </c>
      <c r="D18" s="94">
        <v>0</v>
      </c>
      <c r="E18" s="94">
        <v>8</v>
      </c>
      <c r="F18" s="94">
        <v>32</v>
      </c>
      <c r="G18" s="95"/>
      <c r="H18" s="63">
        <f>'Licence - moduly'!G20</f>
        <v>0</v>
      </c>
      <c r="I18" s="96">
        <f>'Moduly - práce celkem'!I18</f>
        <v>0</v>
      </c>
      <c r="J18" s="141">
        <v>0</v>
      </c>
      <c r="K18" s="141">
        <v>0</v>
      </c>
      <c r="L18" s="97">
        <f>'Moduly - práce celkem'!J18</f>
        <v>0</v>
      </c>
      <c r="M18" s="141">
        <v>0</v>
      </c>
      <c r="N18" s="141">
        <v>0</v>
      </c>
      <c r="O18" s="97">
        <f>'Moduly - práce celkem'!K18</f>
        <v>0</v>
      </c>
      <c r="P18" s="141">
        <v>0</v>
      </c>
      <c r="Q18" s="141">
        <v>0</v>
      </c>
      <c r="R18" s="98">
        <f>'Moduly - práce celkem'!L18</f>
        <v>0</v>
      </c>
      <c r="S18" s="143">
        <v>0</v>
      </c>
      <c r="T18" s="143">
        <v>0</v>
      </c>
      <c r="U18" s="35">
        <f t="shared" si="0"/>
        <v>0</v>
      </c>
      <c r="V18" s="188">
        <f t="shared" si="1"/>
        <v>0</v>
      </c>
      <c r="W18" s="193">
        <f t="shared" si="2"/>
        <v>0</v>
      </c>
      <c r="X18" s="89">
        <f t="shared" si="3"/>
        <v>0</v>
      </c>
      <c r="Y18" s="48"/>
    </row>
    <row r="19" spans="1:25" ht="30" customHeight="1">
      <c r="A19" s="320"/>
      <c r="B19" s="9" t="s">
        <v>85</v>
      </c>
      <c r="C19" s="4" t="s">
        <v>60</v>
      </c>
      <c r="D19" s="16">
        <v>0</v>
      </c>
      <c r="E19" s="16">
        <v>1</v>
      </c>
      <c r="F19" s="16">
        <v>16</v>
      </c>
      <c r="G19" s="46" t="s">
        <v>174</v>
      </c>
      <c r="H19" s="21">
        <f>'Licence - moduly'!G21</f>
        <v>0</v>
      </c>
      <c r="I19" s="34">
        <f>'Moduly - práce celkem'!I19</f>
        <v>0</v>
      </c>
      <c r="J19" s="139">
        <v>0</v>
      </c>
      <c r="K19" s="139">
        <v>0</v>
      </c>
      <c r="L19" s="35">
        <f>'Moduly - práce celkem'!J19</f>
        <v>0</v>
      </c>
      <c r="M19" s="143">
        <v>0</v>
      </c>
      <c r="N19" s="143">
        <v>0</v>
      </c>
      <c r="O19" s="35">
        <f>'Moduly - práce celkem'!K19</f>
        <v>0</v>
      </c>
      <c r="P19" s="147">
        <v>0</v>
      </c>
      <c r="Q19" s="147">
        <v>0</v>
      </c>
      <c r="R19" s="38">
        <f>'Moduly - práce celkem'!L19</f>
        <v>0</v>
      </c>
      <c r="S19" s="143">
        <v>0</v>
      </c>
      <c r="T19" s="143">
        <v>0</v>
      </c>
      <c r="U19" s="35">
        <f t="shared" si="0"/>
        <v>0</v>
      </c>
      <c r="V19" s="188">
        <f t="shared" si="1"/>
        <v>0</v>
      </c>
      <c r="W19" s="190">
        <f t="shared" si="2"/>
        <v>0</v>
      </c>
      <c r="X19" s="7">
        <f t="shared" si="3"/>
        <v>0</v>
      </c>
      <c r="Y19" s="48"/>
    </row>
    <row r="20" spans="1:25" ht="25.15" customHeight="1">
      <c r="A20" s="320"/>
      <c r="B20" s="9" t="s">
        <v>86</v>
      </c>
      <c r="C20" s="4" t="s">
        <v>60</v>
      </c>
      <c r="D20" s="16">
        <v>0</v>
      </c>
      <c r="E20" s="16">
        <v>8</v>
      </c>
      <c r="F20" s="16">
        <v>16</v>
      </c>
      <c r="G20" s="14"/>
      <c r="H20" s="21">
        <f>'Licence - moduly'!G22</f>
        <v>1</v>
      </c>
      <c r="I20" s="34">
        <f>'Moduly - práce celkem'!I20</f>
        <v>16</v>
      </c>
      <c r="J20" s="139">
        <v>16</v>
      </c>
      <c r="K20" s="139">
        <v>0</v>
      </c>
      <c r="L20" s="35">
        <f>'Moduly - práce celkem'!J20</f>
        <v>16</v>
      </c>
      <c r="M20" s="139">
        <v>16</v>
      </c>
      <c r="N20" s="139">
        <v>0</v>
      </c>
      <c r="O20" s="35">
        <f>'Moduly - práce celkem'!K20</f>
        <v>0</v>
      </c>
      <c r="P20" s="139">
        <v>0</v>
      </c>
      <c r="Q20" s="139">
        <v>0</v>
      </c>
      <c r="R20" s="38">
        <f>'Moduly - práce celkem'!L20</f>
        <v>4</v>
      </c>
      <c r="S20" s="143">
        <v>4</v>
      </c>
      <c r="T20" s="143">
        <v>0</v>
      </c>
      <c r="U20" s="35">
        <f t="shared" si="0"/>
        <v>36</v>
      </c>
      <c r="V20" s="188">
        <f t="shared" si="1"/>
        <v>36000</v>
      </c>
      <c r="W20" s="190">
        <f t="shared" si="2"/>
        <v>0</v>
      </c>
      <c r="X20" s="7">
        <f t="shared" si="3"/>
        <v>36000</v>
      </c>
      <c r="Y20" s="48"/>
    </row>
    <row r="21" spans="1:25" ht="25.15" customHeight="1" thickBot="1">
      <c r="A21" s="321"/>
      <c r="B21" s="10" t="s">
        <v>87</v>
      </c>
      <c r="C21" s="90" t="s">
        <v>60</v>
      </c>
      <c r="D21" s="18">
        <v>0</v>
      </c>
      <c r="E21" s="18">
        <v>8</v>
      </c>
      <c r="F21" s="18">
        <v>16</v>
      </c>
      <c r="G21" s="91"/>
      <c r="H21" s="27">
        <f>'Licence - moduly'!G23</f>
        <v>1</v>
      </c>
      <c r="I21" s="36">
        <f>'Moduly - práce celkem'!I21</f>
        <v>16</v>
      </c>
      <c r="J21" s="140">
        <v>16</v>
      </c>
      <c r="K21" s="140">
        <v>0</v>
      </c>
      <c r="L21" s="37">
        <f>'Moduly - práce celkem'!J21</f>
        <v>16</v>
      </c>
      <c r="M21" s="144">
        <v>16</v>
      </c>
      <c r="N21" s="140">
        <v>0</v>
      </c>
      <c r="O21" s="37">
        <f>'Moduly - práce celkem'!K21</f>
        <v>0</v>
      </c>
      <c r="P21" s="140">
        <v>0</v>
      </c>
      <c r="Q21" s="140">
        <v>0</v>
      </c>
      <c r="R21" s="39">
        <f>'Moduly - práce celkem'!L21</f>
        <v>4</v>
      </c>
      <c r="S21" s="144">
        <v>4</v>
      </c>
      <c r="T21" s="144">
        <v>0</v>
      </c>
      <c r="U21" s="37">
        <f t="shared" si="0"/>
        <v>36</v>
      </c>
      <c r="V21" s="191">
        <f t="shared" si="1"/>
        <v>36000</v>
      </c>
      <c r="W21" s="191">
        <f t="shared" si="2"/>
        <v>0</v>
      </c>
      <c r="X21" s="8">
        <f t="shared" si="3"/>
        <v>36000</v>
      </c>
      <c r="Y21" s="48"/>
    </row>
    <row r="22" spans="1:25" ht="25.15" customHeight="1" thickTop="1">
      <c r="A22" s="330" t="s">
        <v>89</v>
      </c>
      <c r="B22" s="92" t="s">
        <v>90</v>
      </c>
      <c r="C22" s="99" t="s">
        <v>60</v>
      </c>
      <c r="D22" s="94">
        <v>0</v>
      </c>
      <c r="E22" s="94">
        <v>8</v>
      </c>
      <c r="F22" s="94">
        <v>32</v>
      </c>
      <c r="G22" s="95"/>
      <c r="H22" s="63">
        <f>'Licence - moduly'!G24</f>
        <v>1</v>
      </c>
      <c r="I22" s="96">
        <f>'Moduly - práce celkem'!I22</f>
        <v>24</v>
      </c>
      <c r="J22" s="141">
        <v>24</v>
      </c>
      <c r="K22" s="141">
        <v>0</v>
      </c>
      <c r="L22" s="97">
        <f>'Moduly - práce celkem'!J22</f>
        <v>24</v>
      </c>
      <c r="M22" s="145">
        <v>24</v>
      </c>
      <c r="N22" s="145">
        <v>0</v>
      </c>
      <c r="O22" s="97">
        <f>'Moduly - práce celkem'!K22</f>
        <v>0</v>
      </c>
      <c r="P22" s="149">
        <v>0</v>
      </c>
      <c r="Q22" s="149">
        <v>0</v>
      </c>
      <c r="R22" s="98">
        <f>'Moduly - práce celkem'!L22</f>
        <v>4</v>
      </c>
      <c r="S22" s="143">
        <v>4</v>
      </c>
      <c r="T22" s="143">
        <v>0</v>
      </c>
      <c r="U22" s="35">
        <f t="shared" si="0"/>
        <v>52</v>
      </c>
      <c r="V22" s="188">
        <f t="shared" si="1"/>
        <v>52000</v>
      </c>
      <c r="W22" s="193">
        <f t="shared" si="2"/>
        <v>0</v>
      </c>
      <c r="X22" s="7">
        <f t="shared" si="3"/>
        <v>52000</v>
      </c>
      <c r="Y22" s="48"/>
    </row>
    <row r="23" spans="1:25" ht="25.15" customHeight="1">
      <c r="A23" s="320"/>
      <c r="B23" s="9" t="s">
        <v>91</v>
      </c>
      <c r="C23" s="4" t="s">
        <v>60</v>
      </c>
      <c r="D23" s="16">
        <v>0</v>
      </c>
      <c r="E23" s="16">
        <v>8</v>
      </c>
      <c r="F23" s="16">
        <v>32</v>
      </c>
      <c r="G23" s="14"/>
      <c r="H23" s="21">
        <f>'Licence - moduly'!G25</f>
        <v>1</v>
      </c>
      <c r="I23" s="34">
        <f>'Moduly - práce celkem'!I23</f>
        <v>32</v>
      </c>
      <c r="J23" s="139">
        <v>32</v>
      </c>
      <c r="K23" s="139">
        <v>0</v>
      </c>
      <c r="L23" s="35">
        <f>'Moduly - práce celkem'!J23</f>
        <v>28</v>
      </c>
      <c r="M23" s="143">
        <v>28</v>
      </c>
      <c r="N23" s="143">
        <v>0</v>
      </c>
      <c r="O23" s="35">
        <f>'Moduly - práce celkem'!K23</f>
        <v>0</v>
      </c>
      <c r="P23" s="147">
        <v>0</v>
      </c>
      <c r="Q23" s="147">
        <v>0</v>
      </c>
      <c r="R23" s="38">
        <f>'Moduly - práce celkem'!L23</f>
        <v>4</v>
      </c>
      <c r="S23" s="143">
        <v>4</v>
      </c>
      <c r="T23" s="143">
        <v>0</v>
      </c>
      <c r="U23" s="35">
        <f t="shared" si="0"/>
        <v>64</v>
      </c>
      <c r="V23" s="188">
        <f t="shared" si="1"/>
        <v>64000</v>
      </c>
      <c r="W23" s="190">
        <f t="shared" si="2"/>
        <v>0</v>
      </c>
      <c r="X23" s="7">
        <f t="shared" si="3"/>
        <v>64000</v>
      </c>
      <c r="Y23" s="48"/>
    </row>
    <row r="24" spans="1:25" ht="25.15" customHeight="1" thickBot="1">
      <c r="A24" s="321"/>
      <c r="B24" s="10" t="s">
        <v>92</v>
      </c>
      <c r="C24" s="90" t="s">
        <v>60</v>
      </c>
      <c r="D24" s="18">
        <v>0</v>
      </c>
      <c r="E24" s="18">
        <v>8</v>
      </c>
      <c r="F24" s="18">
        <v>32</v>
      </c>
      <c r="G24" s="91"/>
      <c r="H24" s="27">
        <f>'Licence - moduly'!G26</f>
        <v>1</v>
      </c>
      <c r="I24" s="36">
        <f>'Moduly - práce celkem'!I24</f>
        <v>32</v>
      </c>
      <c r="J24" s="140">
        <v>32</v>
      </c>
      <c r="K24" s="140">
        <v>0</v>
      </c>
      <c r="L24" s="37">
        <f>'Moduly - práce celkem'!J24</f>
        <v>32</v>
      </c>
      <c r="M24" s="144">
        <v>32</v>
      </c>
      <c r="N24" s="144">
        <v>0</v>
      </c>
      <c r="O24" s="37">
        <f>'Moduly - práce celkem'!K24</f>
        <v>0</v>
      </c>
      <c r="P24" s="148">
        <v>0</v>
      </c>
      <c r="Q24" s="148">
        <v>0</v>
      </c>
      <c r="R24" s="39">
        <f>'Moduly - práce celkem'!L24</f>
        <v>4</v>
      </c>
      <c r="S24" s="144">
        <v>4</v>
      </c>
      <c r="T24" s="144">
        <v>0</v>
      </c>
      <c r="U24" s="37">
        <f t="shared" si="0"/>
        <v>68</v>
      </c>
      <c r="V24" s="191">
        <f t="shared" si="1"/>
        <v>68000</v>
      </c>
      <c r="W24" s="191">
        <f t="shared" si="2"/>
        <v>0</v>
      </c>
      <c r="X24" s="8">
        <f t="shared" si="3"/>
        <v>68000</v>
      </c>
      <c r="Y24" s="48"/>
    </row>
    <row r="25" spans="1:25" ht="31.5" customHeight="1" thickTop="1">
      <c r="A25" s="330" t="s">
        <v>93</v>
      </c>
      <c r="B25" s="92" t="s">
        <v>94</v>
      </c>
      <c r="C25" s="99" t="s">
        <v>60</v>
      </c>
      <c r="D25" s="94">
        <v>16</v>
      </c>
      <c r="E25" s="94">
        <v>40</v>
      </c>
      <c r="F25" s="94">
        <v>120</v>
      </c>
      <c r="G25" s="100" t="s">
        <v>175</v>
      </c>
      <c r="H25" s="63">
        <f>'Licence - moduly'!G27</f>
        <v>1</v>
      </c>
      <c r="I25" s="96">
        <f>'Moduly - práce celkem'!I25</f>
        <v>80</v>
      </c>
      <c r="J25" s="141">
        <v>80</v>
      </c>
      <c r="K25" s="141">
        <v>0</v>
      </c>
      <c r="L25" s="97">
        <f>'Moduly - práce celkem'!J25</f>
        <v>80</v>
      </c>
      <c r="M25" s="141">
        <v>80</v>
      </c>
      <c r="N25" s="145">
        <v>0</v>
      </c>
      <c r="O25" s="97">
        <f>'Moduly - práce celkem'!K25</f>
        <v>0</v>
      </c>
      <c r="P25" s="141">
        <v>0</v>
      </c>
      <c r="Q25" s="141">
        <v>0</v>
      </c>
      <c r="R25" s="98">
        <f>'Moduly - práce celkem'!L25</f>
        <v>8</v>
      </c>
      <c r="S25" s="143">
        <v>8</v>
      </c>
      <c r="T25" s="143">
        <v>0</v>
      </c>
      <c r="U25" s="35">
        <f t="shared" si="0"/>
        <v>168</v>
      </c>
      <c r="V25" s="188">
        <f t="shared" si="1"/>
        <v>168000</v>
      </c>
      <c r="W25" s="193">
        <f t="shared" si="2"/>
        <v>0</v>
      </c>
      <c r="X25" s="7">
        <f t="shared" si="3"/>
        <v>168000</v>
      </c>
      <c r="Y25" s="48"/>
    </row>
    <row r="26" spans="1:25" ht="28.5" customHeight="1">
      <c r="A26" s="320"/>
      <c r="B26" s="9" t="s">
        <v>95</v>
      </c>
      <c r="C26" s="4" t="s">
        <v>60</v>
      </c>
      <c r="D26" s="16">
        <v>8</v>
      </c>
      <c r="E26" s="16">
        <v>4</v>
      </c>
      <c r="F26" s="16">
        <v>40</v>
      </c>
      <c r="G26" s="46" t="s">
        <v>176</v>
      </c>
      <c r="H26" s="21">
        <f>'Licence - moduly'!G28</f>
        <v>1</v>
      </c>
      <c r="I26" s="34">
        <f>'Moduly - práce celkem'!I26</f>
        <v>40</v>
      </c>
      <c r="J26" s="139">
        <v>40</v>
      </c>
      <c r="K26" s="139">
        <v>0</v>
      </c>
      <c r="L26" s="35">
        <f>'Moduly - práce celkem'!J26</f>
        <v>32</v>
      </c>
      <c r="M26" s="143">
        <v>32</v>
      </c>
      <c r="N26" s="143">
        <v>0</v>
      </c>
      <c r="O26" s="35">
        <f>'Moduly - práce celkem'!K26</f>
        <v>0</v>
      </c>
      <c r="P26" s="147">
        <v>0</v>
      </c>
      <c r="Q26" s="147">
        <v>0</v>
      </c>
      <c r="R26" s="38">
        <f>'Moduly - práce celkem'!L26</f>
        <v>4</v>
      </c>
      <c r="S26" s="143">
        <v>4</v>
      </c>
      <c r="T26" s="143">
        <v>0</v>
      </c>
      <c r="U26" s="35">
        <f t="shared" si="0"/>
        <v>76</v>
      </c>
      <c r="V26" s="188">
        <f t="shared" si="1"/>
        <v>76000</v>
      </c>
      <c r="W26" s="190">
        <f t="shared" si="2"/>
        <v>0</v>
      </c>
      <c r="X26" s="7">
        <f t="shared" si="3"/>
        <v>76000</v>
      </c>
      <c r="Y26" s="48"/>
    </row>
    <row r="27" spans="1:25" ht="25.15" customHeight="1" thickBot="1">
      <c r="A27" s="321"/>
      <c r="B27" s="10" t="s">
        <v>98</v>
      </c>
      <c r="C27" s="5" t="s">
        <v>57</v>
      </c>
      <c r="D27" s="18">
        <v>0</v>
      </c>
      <c r="E27" s="18">
        <v>1</v>
      </c>
      <c r="F27" s="18">
        <v>32</v>
      </c>
      <c r="G27" s="47" t="s">
        <v>177</v>
      </c>
      <c r="H27" s="27">
        <f>'Licence - moduly'!G29</f>
        <v>1</v>
      </c>
      <c r="I27" s="36">
        <f>'Moduly - práce celkem'!I27</f>
        <v>24</v>
      </c>
      <c r="J27" s="140">
        <v>24</v>
      </c>
      <c r="K27" s="140">
        <v>0</v>
      </c>
      <c r="L27" s="37">
        <f>'Moduly - práce celkem'!J27</f>
        <v>24</v>
      </c>
      <c r="M27" s="144">
        <v>24</v>
      </c>
      <c r="N27" s="144">
        <v>0</v>
      </c>
      <c r="O27" s="37">
        <f>'Moduly - práce celkem'!K27</f>
        <v>0</v>
      </c>
      <c r="P27" s="148">
        <v>0</v>
      </c>
      <c r="Q27" s="148">
        <v>0</v>
      </c>
      <c r="R27" s="39">
        <f>'Moduly - práce celkem'!L27</f>
        <v>4</v>
      </c>
      <c r="S27" s="144">
        <v>4</v>
      </c>
      <c r="T27" s="144">
        <v>0</v>
      </c>
      <c r="U27" s="37">
        <f t="shared" si="0"/>
        <v>52</v>
      </c>
      <c r="V27" s="191">
        <f t="shared" si="1"/>
        <v>52000</v>
      </c>
      <c r="W27" s="191">
        <f t="shared" si="2"/>
        <v>0</v>
      </c>
      <c r="X27" s="8">
        <f t="shared" si="3"/>
        <v>52000</v>
      </c>
      <c r="Y27" s="48"/>
    </row>
    <row r="28" spans="1:25" ht="29.1" customHeight="1" thickTop="1">
      <c r="A28" s="330" t="s">
        <v>99</v>
      </c>
      <c r="B28" s="92" t="s">
        <v>100</v>
      </c>
      <c r="C28" s="99" t="s">
        <v>60</v>
      </c>
      <c r="D28" s="94">
        <v>0</v>
      </c>
      <c r="E28" s="94" t="s">
        <v>178</v>
      </c>
      <c r="F28" s="94" t="s">
        <v>178</v>
      </c>
      <c r="G28" s="100" t="s">
        <v>179</v>
      </c>
      <c r="H28" s="63">
        <f>'Licence - moduly'!G30</f>
        <v>1</v>
      </c>
      <c r="I28" s="96">
        <f>'Moduly - práce celkem'!I28</f>
        <v>40</v>
      </c>
      <c r="J28" s="141">
        <v>40</v>
      </c>
      <c r="K28" s="141">
        <v>0</v>
      </c>
      <c r="L28" s="97">
        <f>'Moduly - práce celkem'!J28</f>
        <v>40</v>
      </c>
      <c r="M28" s="141">
        <v>40</v>
      </c>
      <c r="N28" s="145">
        <v>0</v>
      </c>
      <c r="O28" s="97">
        <f>'Moduly - práce celkem'!K28</f>
        <v>0</v>
      </c>
      <c r="P28" s="141">
        <v>0</v>
      </c>
      <c r="Q28" s="141">
        <v>0</v>
      </c>
      <c r="R28" s="98">
        <f>'Moduly - práce celkem'!L28</f>
        <v>4</v>
      </c>
      <c r="S28" s="143">
        <v>4</v>
      </c>
      <c r="T28" s="143">
        <v>0</v>
      </c>
      <c r="U28" s="35">
        <f t="shared" si="0"/>
        <v>84</v>
      </c>
      <c r="V28" s="188">
        <f t="shared" si="1"/>
        <v>84000</v>
      </c>
      <c r="W28" s="193">
        <f t="shared" si="2"/>
        <v>0</v>
      </c>
      <c r="X28" s="7">
        <f t="shared" si="3"/>
        <v>84000</v>
      </c>
      <c r="Y28" s="48"/>
    </row>
    <row r="29" spans="1:25" ht="25.15" customHeight="1">
      <c r="A29" s="320"/>
      <c r="B29" s="9" t="s">
        <v>101</v>
      </c>
      <c r="C29" s="4" t="s">
        <v>60</v>
      </c>
      <c r="D29" s="16">
        <v>0</v>
      </c>
      <c r="E29" s="16">
        <v>4</v>
      </c>
      <c r="F29" s="16">
        <v>24</v>
      </c>
      <c r="G29" s="46" t="s">
        <v>180</v>
      </c>
      <c r="H29" s="21">
        <f>'Licence - moduly'!G31</f>
        <v>1</v>
      </c>
      <c r="I29" s="34">
        <f>'Moduly - práce celkem'!I29</f>
        <v>24</v>
      </c>
      <c r="J29" s="139">
        <v>24</v>
      </c>
      <c r="K29" s="139">
        <v>0</v>
      </c>
      <c r="L29" s="35">
        <f>'Moduly - práce celkem'!J29</f>
        <v>20</v>
      </c>
      <c r="M29" s="139">
        <v>20</v>
      </c>
      <c r="N29" s="143">
        <v>0</v>
      </c>
      <c r="O29" s="35">
        <f>'Moduly - práce celkem'!K29</f>
        <v>0</v>
      </c>
      <c r="P29" s="139">
        <v>0</v>
      </c>
      <c r="Q29" s="139">
        <v>0</v>
      </c>
      <c r="R29" s="38">
        <f>'Moduly - práce celkem'!L29</f>
        <v>0</v>
      </c>
      <c r="S29" s="143">
        <v>0</v>
      </c>
      <c r="T29" s="143">
        <v>0</v>
      </c>
      <c r="U29" s="35">
        <f t="shared" si="0"/>
        <v>44</v>
      </c>
      <c r="V29" s="188">
        <f t="shared" si="1"/>
        <v>44000</v>
      </c>
      <c r="W29" s="190">
        <f t="shared" si="2"/>
        <v>0</v>
      </c>
      <c r="X29" s="7">
        <f t="shared" si="3"/>
        <v>44000</v>
      </c>
      <c r="Y29" s="48"/>
    </row>
    <row r="30" spans="1:25" ht="30.6" customHeight="1" thickBot="1">
      <c r="A30" s="321"/>
      <c r="B30" s="10" t="s">
        <v>103</v>
      </c>
      <c r="C30" s="5" t="s">
        <v>57</v>
      </c>
      <c r="D30" s="17">
        <v>0</v>
      </c>
      <c r="E30" s="18">
        <v>1</v>
      </c>
      <c r="F30" s="18">
        <v>24</v>
      </c>
      <c r="G30" s="47" t="s">
        <v>181</v>
      </c>
      <c r="H30" s="33">
        <f>'Licence - moduly'!G32</f>
        <v>1</v>
      </c>
      <c r="I30" s="36">
        <f>'Moduly - práce celkem'!I30</f>
        <v>16</v>
      </c>
      <c r="J30" s="140">
        <v>16</v>
      </c>
      <c r="K30" s="140">
        <v>0</v>
      </c>
      <c r="L30" s="37">
        <f>'Moduly - práce celkem'!J30</f>
        <v>16</v>
      </c>
      <c r="M30" s="144">
        <v>16</v>
      </c>
      <c r="N30" s="140">
        <v>0</v>
      </c>
      <c r="O30" s="37">
        <f>'Moduly - práce celkem'!K30</f>
        <v>0</v>
      </c>
      <c r="P30" s="140">
        <v>0</v>
      </c>
      <c r="Q30" s="140">
        <v>0</v>
      </c>
      <c r="R30" s="39">
        <f>'Moduly - práce celkem'!L30</f>
        <v>0</v>
      </c>
      <c r="S30" s="144">
        <v>0</v>
      </c>
      <c r="T30" s="144">
        <v>0</v>
      </c>
      <c r="U30" s="37">
        <f t="shared" si="0"/>
        <v>32</v>
      </c>
      <c r="V30" s="191">
        <f t="shared" si="1"/>
        <v>32000</v>
      </c>
      <c r="W30" s="191">
        <f t="shared" si="2"/>
        <v>0</v>
      </c>
      <c r="X30" s="8">
        <f t="shared" si="3"/>
        <v>32000</v>
      </c>
      <c r="Y30" s="48"/>
    </row>
    <row r="31" spans="1:25" ht="15" thickTop="1">
      <c r="B31" s="316"/>
      <c r="C31" s="316"/>
      <c r="D31" s="307"/>
      <c r="E31" s="307"/>
      <c r="F31" s="307"/>
      <c r="G31" s="332" t="s">
        <v>196</v>
      </c>
      <c r="H31" s="332"/>
      <c r="I31" s="40">
        <f t="shared" ref="I31:X31" si="4">SUM(I2:I30)</f>
        <v>520</v>
      </c>
      <c r="J31">
        <f t="shared" si="4"/>
        <v>520</v>
      </c>
      <c r="K31">
        <f t="shared" si="4"/>
        <v>0</v>
      </c>
      <c r="L31" s="40">
        <f t="shared" si="4"/>
        <v>492</v>
      </c>
      <c r="M31">
        <f t="shared" si="4"/>
        <v>492</v>
      </c>
      <c r="N31">
        <f t="shared" si="4"/>
        <v>0</v>
      </c>
      <c r="O31" s="40">
        <f t="shared" si="4"/>
        <v>28</v>
      </c>
      <c r="P31">
        <f t="shared" si="4"/>
        <v>28</v>
      </c>
      <c r="Q31">
        <f t="shared" si="4"/>
        <v>0</v>
      </c>
      <c r="R31" s="40">
        <f t="shared" si="4"/>
        <v>82</v>
      </c>
      <c r="S31">
        <f t="shared" si="4"/>
        <v>82</v>
      </c>
      <c r="T31">
        <f t="shared" si="4"/>
        <v>0</v>
      </c>
      <c r="U31" s="40">
        <f t="shared" si="4"/>
        <v>1122</v>
      </c>
      <c r="V31">
        <f t="shared" ref="V31" si="5">SUM(V2:V30)</f>
        <v>1122000</v>
      </c>
      <c r="W31">
        <f t="shared" ref="W31" si="6">SUM(W2:W30)</f>
        <v>0</v>
      </c>
      <c r="X31" s="11">
        <f t="shared" si="4"/>
        <v>1122000</v>
      </c>
    </row>
    <row r="32" spans="1:25" ht="14.65" customHeight="1">
      <c r="G32" s="318" t="s">
        <v>197</v>
      </c>
      <c r="H32" s="318"/>
      <c r="I32" s="307">
        <f t="shared" ref="I32:X32" si="7">I31*Koeficient_korekce</f>
        <v>780</v>
      </c>
      <c r="J32" s="101">
        <f t="shared" si="7"/>
        <v>780</v>
      </c>
      <c r="K32" s="101">
        <f t="shared" si="7"/>
        <v>0</v>
      </c>
      <c r="L32" s="307">
        <f t="shared" si="7"/>
        <v>738</v>
      </c>
      <c r="M32" s="101">
        <f t="shared" si="7"/>
        <v>738</v>
      </c>
      <c r="N32" s="101">
        <f t="shared" si="7"/>
        <v>0</v>
      </c>
      <c r="O32" s="307">
        <f t="shared" si="7"/>
        <v>42</v>
      </c>
      <c r="P32" s="101">
        <f t="shared" si="7"/>
        <v>42</v>
      </c>
      <c r="Q32" s="101">
        <f t="shared" si="7"/>
        <v>0</v>
      </c>
      <c r="R32" s="307">
        <f t="shared" si="7"/>
        <v>123</v>
      </c>
      <c r="S32" s="101">
        <f t="shared" si="7"/>
        <v>123</v>
      </c>
      <c r="T32" s="101">
        <f t="shared" si="7"/>
        <v>0</v>
      </c>
      <c r="U32" s="307">
        <f t="shared" si="7"/>
        <v>1683</v>
      </c>
      <c r="V32" s="101">
        <f t="shared" ref="V32" si="8">V31*Koeficient_korekce</f>
        <v>1683000</v>
      </c>
      <c r="W32" s="101">
        <f t="shared" ref="W32" si="9">W31*Koeficient_korekce</f>
        <v>0</v>
      </c>
      <c r="X32" s="45">
        <f t="shared" si="7"/>
        <v>1683000</v>
      </c>
    </row>
    <row r="33" spans="1:20" ht="15" customHeight="1">
      <c r="G33" s="318" t="s">
        <v>198</v>
      </c>
      <c r="H33" s="318"/>
      <c r="I33" s="102"/>
      <c r="J33">
        <f>J32/8</f>
        <v>97.5</v>
      </c>
      <c r="K33">
        <f>K32/8</f>
        <v>0</v>
      </c>
      <c r="L33" s="102"/>
      <c r="M33">
        <f>M32/8</f>
        <v>92.25</v>
      </c>
      <c r="N33">
        <f>N32/8</f>
        <v>0</v>
      </c>
      <c r="O33" s="102"/>
      <c r="P33">
        <f>P32/8</f>
        <v>5.25</v>
      </c>
      <c r="Q33">
        <f>Q32/8</f>
        <v>0</v>
      </c>
      <c r="R33" s="102"/>
      <c r="S33">
        <f>S32/8</f>
        <v>15.375</v>
      </c>
      <c r="T33">
        <f>T32/8</f>
        <v>0</v>
      </c>
    </row>
    <row r="34" spans="1:20" ht="15" customHeight="1">
      <c r="I34" s="102"/>
      <c r="J34" s="331" t="s">
        <v>199</v>
      </c>
      <c r="K34" s="331"/>
      <c r="L34" s="172"/>
      <c r="M34" s="331" t="s">
        <v>200</v>
      </c>
      <c r="N34" s="331"/>
      <c r="O34" s="102"/>
      <c r="P34" s="331" t="s">
        <v>149</v>
      </c>
      <c r="Q34" s="331"/>
      <c r="R34" s="102"/>
      <c r="S34" s="331" t="s">
        <v>151</v>
      </c>
      <c r="T34" s="331"/>
    </row>
    <row r="35" spans="1:20" ht="18" customHeight="1">
      <c r="A35" s="151"/>
      <c r="B35" s="151"/>
      <c r="C35" s="151"/>
      <c r="D35" s="151"/>
      <c r="E35" s="151"/>
      <c r="F35" s="151"/>
      <c r="G35" s="151"/>
    </row>
    <row r="36" spans="1:20">
      <c r="G36" s="66" t="s">
        <v>201</v>
      </c>
    </row>
  </sheetData>
  <mergeCells count="16">
    <mergeCell ref="A2:A6"/>
    <mergeCell ref="A7:A11"/>
    <mergeCell ref="A12:A14"/>
    <mergeCell ref="A15:A17"/>
    <mergeCell ref="A18:A21"/>
    <mergeCell ref="A22:A24"/>
    <mergeCell ref="G33:H33"/>
    <mergeCell ref="S34:T34"/>
    <mergeCell ref="P34:Q34"/>
    <mergeCell ref="J34:K34"/>
    <mergeCell ref="M34:N34"/>
    <mergeCell ref="G31:H31"/>
    <mergeCell ref="G32:H32"/>
    <mergeCell ref="A25:A27"/>
    <mergeCell ref="A28:A30"/>
    <mergeCell ref="B31:C31"/>
  </mergeCells>
  <conditionalFormatting sqref="H2:H30">
    <cfRule type="iconSet" priority="19">
      <iconSet iconSet="3Symbols" showValue="0">
        <cfvo type="percent" val="0"/>
        <cfvo type="percent" val="33"/>
        <cfvo type="percent" val="67"/>
      </iconSet>
    </cfRule>
  </conditionalFormatting>
  <conditionalFormatting sqref="I2:I30">
    <cfRule type="expression" dxfId="5" priority="16">
      <formula>NOT(I2=(J2+K2))</formula>
    </cfRule>
  </conditionalFormatting>
  <conditionalFormatting sqref="L2:L30">
    <cfRule type="expression" dxfId="4" priority="5">
      <formula>NOT(L2=(M2+N2))</formula>
    </cfRule>
  </conditionalFormatting>
  <conditionalFormatting sqref="O2:O30">
    <cfRule type="expression" dxfId="3" priority="2">
      <formula>NOT(O2=(P2+Q2))</formula>
    </cfRule>
  </conditionalFormatting>
  <conditionalFormatting sqref="R2:R30">
    <cfRule type="expression" dxfId="2" priority="1">
      <formula>NOT(R2=(S2+T2))</formula>
    </cfRule>
  </conditionalFormatting>
  <pageMargins left="0.7" right="0.7" top="0.78740157499999996" bottom="0.78740157499999996" header="0.3" footer="0.3"/>
  <pageSetup paperSize="9"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55"/>
  <sheetViews>
    <sheetView tabSelected="1" workbookViewId="0">
      <pane ySplit="3" topLeftCell="A23" activePane="bottomLeft" state="frozen"/>
      <selection pane="bottomLeft" activeCell="J34" sqref="J34"/>
    </sheetView>
  </sheetViews>
  <sheetFormatPr defaultColWidth="8.7109375" defaultRowHeight="13.15"/>
  <cols>
    <col min="1" max="1" width="21" style="49" customWidth="1"/>
    <col min="2" max="2" width="57.42578125" style="49" bestFit="1" customWidth="1"/>
    <col min="3" max="3" width="21.42578125" style="49" customWidth="1"/>
    <col min="4" max="12" width="13.42578125" style="49" customWidth="1"/>
    <col min="13" max="13" width="48.42578125" style="49" bestFit="1" customWidth="1"/>
    <col min="14" max="16384" width="8.7109375" style="49"/>
  </cols>
  <sheetData>
    <row r="1" spans="1:14" ht="25.5" customHeight="1">
      <c r="A1" s="334" t="s">
        <v>202</v>
      </c>
      <c r="B1" s="334"/>
      <c r="C1" s="334"/>
      <c r="D1" s="334"/>
      <c r="E1" s="334"/>
      <c r="F1" s="334"/>
      <c r="G1" s="334"/>
      <c r="H1" s="334"/>
      <c r="I1" s="334"/>
      <c r="J1" s="334"/>
      <c r="K1" s="334"/>
      <c r="L1" s="334"/>
      <c r="M1" s="334"/>
    </row>
    <row r="2" spans="1:14" ht="13.9" thickBot="1"/>
    <row r="3" spans="1:14" ht="33.75" customHeight="1" thickTop="1" thickBot="1">
      <c r="A3" s="69" t="s">
        <v>203</v>
      </c>
      <c r="B3" s="70" t="s">
        <v>204</v>
      </c>
      <c r="C3" s="70" t="s">
        <v>205</v>
      </c>
      <c r="D3" s="152" t="s">
        <v>206</v>
      </c>
      <c r="E3" s="152" t="s">
        <v>207</v>
      </c>
      <c r="F3" s="152" t="s">
        <v>208</v>
      </c>
      <c r="G3" s="162" t="s">
        <v>209</v>
      </c>
      <c r="H3" s="73" t="s">
        <v>210</v>
      </c>
      <c r="I3" s="73" t="s">
        <v>211</v>
      </c>
      <c r="J3" s="162" t="s">
        <v>212</v>
      </c>
      <c r="K3" s="162" t="s">
        <v>213</v>
      </c>
      <c r="L3" s="73" t="s">
        <v>214</v>
      </c>
      <c r="M3" s="71" t="s">
        <v>144</v>
      </c>
    </row>
    <row r="4" spans="1:14" ht="16.149999999999999" customHeight="1" thickTop="1">
      <c r="A4" s="335" t="s">
        <v>215</v>
      </c>
      <c r="B4" s="50" t="s">
        <v>216</v>
      </c>
      <c r="C4" s="63">
        <v>0</v>
      </c>
      <c r="D4" s="153">
        <v>0</v>
      </c>
      <c r="E4" s="194">
        <f>D4*Analýza</f>
        <v>0</v>
      </c>
      <c r="F4" s="153">
        <v>0</v>
      </c>
      <c r="G4" s="203">
        <f>F4*Analýza</f>
        <v>0</v>
      </c>
      <c r="H4" s="74">
        <f>D4+F4</f>
        <v>0</v>
      </c>
      <c r="I4" s="212">
        <f>E4+G4</f>
        <v>0</v>
      </c>
      <c r="J4" s="163">
        <v>0</v>
      </c>
      <c r="K4" s="163">
        <v>0</v>
      </c>
      <c r="L4" s="74">
        <f>J4+K4</f>
        <v>0</v>
      </c>
      <c r="M4" s="104"/>
      <c r="N4" s="107"/>
    </row>
    <row r="5" spans="1:14" ht="16.149999999999999" customHeight="1">
      <c r="A5" s="336"/>
      <c r="B5" s="52" t="s">
        <v>217</v>
      </c>
      <c r="C5" s="21" t="s">
        <v>215</v>
      </c>
      <c r="D5" s="154">
        <v>0</v>
      </c>
      <c r="E5" s="195">
        <v>0</v>
      </c>
      <c r="F5" s="154">
        <v>0</v>
      </c>
      <c r="G5" s="204">
        <v>0</v>
      </c>
      <c r="H5" s="75">
        <f t="shared" ref="H5:H42" si="0">D5+F5</f>
        <v>0</v>
      </c>
      <c r="I5" s="213">
        <f t="shared" ref="I5:I42" si="1">E5+G5</f>
        <v>0</v>
      </c>
      <c r="J5" s="164">
        <v>80</v>
      </c>
      <c r="K5" s="164">
        <f>'Moduly - práce etapy'!N32</f>
        <v>0</v>
      </c>
      <c r="L5" s="75">
        <f t="shared" ref="L5:L42" si="2">J5+K5</f>
        <v>80</v>
      </c>
      <c r="M5" s="68"/>
      <c r="N5" s="107"/>
    </row>
    <row r="6" spans="1:14" ht="16.149999999999999" customHeight="1">
      <c r="A6" s="336"/>
      <c r="B6" s="52" t="s">
        <v>218</v>
      </c>
      <c r="C6" s="21" t="s">
        <v>215</v>
      </c>
      <c r="D6" s="154">
        <v>0</v>
      </c>
      <c r="E6" s="195">
        <v>0</v>
      </c>
      <c r="F6" s="154">
        <v>0</v>
      </c>
      <c r="G6" s="204">
        <v>0</v>
      </c>
      <c r="H6" s="75">
        <f t="shared" si="0"/>
        <v>0</v>
      </c>
      <c r="I6" s="213">
        <f t="shared" si="1"/>
        <v>0</v>
      </c>
      <c r="J6" s="164">
        <v>20</v>
      </c>
      <c r="K6" s="164">
        <v>0</v>
      </c>
      <c r="L6" s="75">
        <f t="shared" si="2"/>
        <v>20</v>
      </c>
      <c r="M6" s="54"/>
    </row>
    <row r="7" spans="1:14" ht="16.149999999999999" customHeight="1">
      <c r="A7" s="336"/>
      <c r="B7" s="52" t="s">
        <v>219</v>
      </c>
      <c r="C7" s="21" t="s">
        <v>215</v>
      </c>
      <c r="D7" s="154">
        <v>0</v>
      </c>
      <c r="E7" s="195">
        <v>0</v>
      </c>
      <c r="F7" s="154">
        <v>0</v>
      </c>
      <c r="G7" s="204">
        <v>0</v>
      </c>
      <c r="H7" s="75">
        <f t="shared" si="0"/>
        <v>0</v>
      </c>
      <c r="I7" s="213">
        <f t="shared" si="1"/>
        <v>0</v>
      </c>
      <c r="J7" s="164">
        <v>0</v>
      </c>
      <c r="K7" s="164">
        <v>0</v>
      </c>
      <c r="L7" s="75">
        <f t="shared" si="2"/>
        <v>0</v>
      </c>
      <c r="M7" s="54"/>
    </row>
    <row r="8" spans="1:14" ht="16.149999999999999" customHeight="1">
      <c r="A8" s="336"/>
      <c r="B8" s="52" t="s">
        <v>220</v>
      </c>
      <c r="C8" s="21" t="s">
        <v>149</v>
      </c>
      <c r="D8" s="154">
        <v>0</v>
      </c>
      <c r="E8" s="195">
        <v>0</v>
      </c>
      <c r="F8" s="154">
        <v>0</v>
      </c>
      <c r="G8" s="204">
        <v>0</v>
      </c>
      <c r="H8" s="75">
        <f t="shared" si="0"/>
        <v>0</v>
      </c>
      <c r="I8" s="213">
        <f t="shared" si="1"/>
        <v>0</v>
      </c>
      <c r="J8" s="164">
        <f>ROUNDUP('Moduly - práce etapy'!P32/2,0)</f>
        <v>21</v>
      </c>
      <c r="K8" s="164">
        <f>ROUNDUP('Moduly - práce etapy'!Q32/2,0)</f>
        <v>0</v>
      </c>
      <c r="L8" s="75">
        <f t="shared" si="2"/>
        <v>21</v>
      </c>
      <c r="M8" s="54"/>
      <c r="N8" s="107"/>
    </row>
    <row r="9" spans="1:14" ht="16.149999999999999" customHeight="1" thickBot="1">
      <c r="A9" s="337"/>
      <c r="B9" s="57" t="s">
        <v>221</v>
      </c>
      <c r="C9" s="27" t="s">
        <v>151</v>
      </c>
      <c r="D9" s="155">
        <v>0</v>
      </c>
      <c r="E9" s="196">
        <v>0</v>
      </c>
      <c r="F9" s="155">
        <v>0</v>
      </c>
      <c r="G9" s="205">
        <v>0</v>
      </c>
      <c r="H9" s="76">
        <f t="shared" si="0"/>
        <v>0</v>
      </c>
      <c r="I9" s="214">
        <f t="shared" si="1"/>
        <v>0</v>
      </c>
      <c r="J9" s="165">
        <f>ROUNDUP('Moduly - práce etapy'!S32/2,0)</f>
        <v>62</v>
      </c>
      <c r="K9" s="165">
        <f>ROUNDUP('Moduly - práce etapy'!T32/2,0)</f>
        <v>0</v>
      </c>
      <c r="L9" s="76">
        <f t="shared" si="2"/>
        <v>62</v>
      </c>
      <c r="M9" s="58"/>
      <c r="N9" s="107"/>
    </row>
    <row r="10" spans="1:14" ht="16.149999999999999" customHeight="1" thickTop="1">
      <c r="A10" s="335" t="s">
        <v>222</v>
      </c>
      <c r="B10" s="50" t="s">
        <v>223</v>
      </c>
      <c r="C10" s="63">
        <v>0</v>
      </c>
      <c r="D10" s="156">
        <v>0</v>
      </c>
      <c r="E10" s="194">
        <f>D10*Analýza</f>
        <v>0</v>
      </c>
      <c r="F10" s="156">
        <v>0</v>
      </c>
      <c r="G10" s="203">
        <f>F10*Analýza</f>
        <v>0</v>
      </c>
      <c r="H10" s="77">
        <f t="shared" si="0"/>
        <v>0</v>
      </c>
      <c r="I10" s="215">
        <f t="shared" si="1"/>
        <v>0</v>
      </c>
      <c r="J10" s="166">
        <v>0</v>
      </c>
      <c r="K10" s="166">
        <v>0</v>
      </c>
      <c r="L10" s="77">
        <f t="shared" si="2"/>
        <v>0</v>
      </c>
      <c r="M10" s="51"/>
    </row>
    <row r="11" spans="1:14" ht="16.149999999999999" customHeight="1">
      <c r="A11" s="336"/>
      <c r="B11" s="52" t="s">
        <v>224</v>
      </c>
      <c r="C11" s="21" t="s">
        <v>215</v>
      </c>
      <c r="D11" s="154">
        <v>0</v>
      </c>
      <c r="E11" s="195">
        <v>0</v>
      </c>
      <c r="F11" s="154">
        <v>0</v>
      </c>
      <c r="G11" s="204">
        <v>0</v>
      </c>
      <c r="H11" s="75">
        <f t="shared" si="0"/>
        <v>0</v>
      </c>
      <c r="I11" s="213">
        <f t="shared" si="1"/>
        <v>0</v>
      </c>
      <c r="J11" s="164">
        <v>0</v>
      </c>
      <c r="K11" s="164">
        <v>0</v>
      </c>
      <c r="L11" s="75">
        <f t="shared" si="2"/>
        <v>0</v>
      </c>
      <c r="M11" s="54"/>
    </row>
    <row r="12" spans="1:14" ht="16.149999999999999" customHeight="1">
      <c r="A12" s="336"/>
      <c r="B12" s="52" t="s">
        <v>225</v>
      </c>
      <c r="C12" s="21" t="s">
        <v>215</v>
      </c>
      <c r="D12" s="154">
        <v>0</v>
      </c>
      <c r="E12" s="195">
        <v>0</v>
      </c>
      <c r="F12" s="154">
        <v>0</v>
      </c>
      <c r="G12" s="204">
        <v>0</v>
      </c>
      <c r="H12" s="75">
        <f t="shared" si="0"/>
        <v>0</v>
      </c>
      <c r="I12" s="213">
        <f t="shared" si="1"/>
        <v>0</v>
      </c>
      <c r="J12" s="164">
        <v>0</v>
      </c>
      <c r="K12" s="164">
        <v>0</v>
      </c>
      <c r="L12" s="75">
        <f t="shared" si="2"/>
        <v>0</v>
      </c>
      <c r="M12" s="54"/>
    </row>
    <row r="13" spans="1:14" ht="16.149999999999999" customHeight="1">
      <c r="A13" s="336"/>
      <c r="B13" s="52" t="s">
        <v>226</v>
      </c>
      <c r="C13" s="21" t="s">
        <v>215</v>
      </c>
      <c r="D13" s="154">
        <v>0</v>
      </c>
      <c r="E13" s="195">
        <v>0</v>
      </c>
      <c r="F13" s="154">
        <v>0</v>
      </c>
      <c r="G13" s="204">
        <v>0</v>
      </c>
      <c r="H13" s="75">
        <f t="shared" si="0"/>
        <v>0</v>
      </c>
      <c r="I13" s="213">
        <f t="shared" si="1"/>
        <v>0</v>
      </c>
      <c r="J13" s="164">
        <v>40</v>
      </c>
      <c r="K13" s="164">
        <v>0</v>
      </c>
      <c r="L13" s="75">
        <f t="shared" si="2"/>
        <v>40</v>
      </c>
      <c r="M13" s="68"/>
    </row>
    <row r="14" spans="1:14" ht="16.149999999999999" customHeight="1">
      <c r="A14" s="336"/>
      <c r="B14" s="52" t="s">
        <v>227</v>
      </c>
      <c r="C14" s="21">
        <v>0</v>
      </c>
      <c r="D14" s="154">
        <v>16</v>
      </c>
      <c r="E14" s="195">
        <f>D14*Analýza</f>
        <v>16000</v>
      </c>
      <c r="F14" s="154">
        <v>0</v>
      </c>
      <c r="G14" s="204">
        <f>F14*Analýza</f>
        <v>0</v>
      </c>
      <c r="H14" s="75">
        <f t="shared" si="0"/>
        <v>16</v>
      </c>
      <c r="I14" s="213">
        <f t="shared" si="1"/>
        <v>16000</v>
      </c>
      <c r="J14" s="164">
        <v>0</v>
      </c>
      <c r="K14" s="164">
        <v>0</v>
      </c>
      <c r="L14" s="75">
        <f t="shared" si="2"/>
        <v>0</v>
      </c>
      <c r="M14" s="55"/>
      <c r="N14" s="107"/>
    </row>
    <row r="15" spans="1:14" ht="16.149999999999999" customHeight="1">
      <c r="A15" s="336"/>
      <c r="B15" s="52" t="s">
        <v>228</v>
      </c>
      <c r="C15" s="21" t="s">
        <v>149</v>
      </c>
      <c r="D15" s="154">
        <v>0</v>
      </c>
      <c r="E15" s="195">
        <v>0</v>
      </c>
      <c r="F15" s="154">
        <v>0</v>
      </c>
      <c r="G15" s="204">
        <v>0</v>
      </c>
      <c r="H15" s="75">
        <f t="shared" si="0"/>
        <v>0</v>
      </c>
      <c r="I15" s="213">
        <f t="shared" si="1"/>
        <v>0</v>
      </c>
      <c r="J15" s="164">
        <v>0</v>
      </c>
      <c r="K15" s="164">
        <v>0</v>
      </c>
      <c r="L15" s="75">
        <f t="shared" si="2"/>
        <v>0</v>
      </c>
      <c r="M15" s="54"/>
    </row>
    <row r="16" spans="1:14" ht="16.149999999999999" customHeight="1" thickBot="1">
      <c r="A16" s="337"/>
      <c r="B16" s="57" t="s">
        <v>229</v>
      </c>
      <c r="C16" s="27" t="s">
        <v>151</v>
      </c>
      <c r="D16" s="155">
        <v>0</v>
      </c>
      <c r="E16" s="196">
        <v>0</v>
      </c>
      <c r="F16" s="155">
        <v>0</v>
      </c>
      <c r="G16" s="205">
        <v>0</v>
      </c>
      <c r="H16" s="76">
        <f t="shared" si="0"/>
        <v>0</v>
      </c>
      <c r="I16" s="214">
        <f t="shared" si="1"/>
        <v>0</v>
      </c>
      <c r="J16" s="165">
        <v>0</v>
      </c>
      <c r="K16" s="165">
        <v>0</v>
      </c>
      <c r="L16" s="76">
        <f t="shared" si="2"/>
        <v>0</v>
      </c>
      <c r="M16" s="58"/>
    </row>
    <row r="17" spans="1:14" ht="16.149999999999999" customHeight="1" thickTop="1">
      <c r="A17" s="335" t="s">
        <v>230</v>
      </c>
      <c r="B17" s="50" t="s">
        <v>231</v>
      </c>
      <c r="C17" s="63">
        <v>0</v>
      </c>
      <c r="D17" s="156">
        <v>16</v>
      </c>
      <c r="E17" s="197">
        <f>D17*Ostatní</f>
        <v>16000</v>
      </c>
      <c r="F17" s="156">
        <v>0</v>
      </c>
      <c r="G17" s="206">
        <f>F17*Ostatní</f>
        <v>0</v>
      </c>
      <c r="H17" s="77">
        <f t="shared" si="0"/>
        <v>16</v>
      </c>
      <c r="I17" s="215">
        <f t="shared" si="1"/>
        <v>16000</v>
      </c>
      <c r="J17" s="166">
        <v>0</v>
      </c>
      <c r="K17" s="166">
        <v>0</v>
      </c>
      <c r="L17" s="77">
        <f t="shared" si="2"/>
        <v>0</v>
      </c>
      <c r="M17" s="104"/>
      <c r="N17" s="107"/>
    </row>
    <row r="18" spans="1:14" ht="16.149999999999999" customHeight="1">
      <c r="A18" s="336"/>
      <c r="B18" s="53" t="s">
        <v>232</v>
      </c>
      <c r="C18" s="21" t="s">
        <v>199</v>
      </c>
      <c r="D18" s="154">
        <v>0</v>
      </c>
      <c r="E18" s="195">
        <v>0</v>
      </c>
      <c r="F18" s="157">
        <v>0</v>
      </c>
      <c r="G18" s="207">
        <v>0</v>
      </c>
      <c r="H18" s="78">
        <f t="shared" si="0"/>
        <v>0</v>
      </c>
      <c r="I18" s="216">
        <f t="shared" si="1"/>
        <v>0</v>
      </c>
      <c r="J18" s="167">
        <v>0</v>
      </c>
      <c r="K18" s="167">
        <v>0</v>
      </c>
      <c r="L18" s="78">
        <f t="shared" si="2"/>
        <v>0</v>
      </c>
      <c r="M18" s="54"/>
    </row>
    <row r="19" spans="1:14" ht="16.149999999999999" customHeight="1">
      <c r="A19" s="336"/>
      <c r="B19" s="53" t="s">
        <v>233</v>
      </c>
      <c r="C19" s="21" t="s">
        <v>230</v>
      </c>
      <c r="D19" s="154">
        <v>0</v>
      </c>
      <c r="E19" s="195">
        <v>0</v>
      </c>
      <c r="F19" s="154">
        <v>0</v>
      </c>
      <c r="G19" s="204">
        <v>0</v>
      </c>
      <c r="H19" s="75">
        <f t="shared" si="0"/>
        <v>0</v>
      </c>
      <c r="I19" s="213">
        <f t="shared" si="1"/>
        <v>0</v>
      </c>
      <c r="J19" s="164">
        <v>0</v>
      </c>
      <c r="K19" s="164">
        <v>0</v>
      </c>
      <c r="L19" s="75">
        <f t="shared" si="2"/>
        <v>0</v>
      </c>
      <c r="M19" s="54"/>
    </row>
    <row r="20" spans="1:14" ht="16.149999999999999" customHeight="1">
      <c r="A20" s="336"/>
      <c r="B20" s="53" t="s">
        <v>234</v>
      </c>
      <c r="C20" s="21" t="s">
        <v>230</v>
      </c>
      <c r="D20" s="154">
        <v>0</v>
      </c>
      <c r="E20" s="195">
        <v>0</v>
      </c>
      <c r="F20" s="154">
        <v>0</v>
      </c>
      <c r="G20" s="204">
        <v>0</v>
      </c>
      <c r="H20" s="75">
        <f t="shared" si="0"/>
        <v>0</v>
      </c>
      <c r="I20" s="213">
        <f t="shared" si="1"/>
        <v>0</v>
      </c>
      <c r="J20" s="164">
        <v>0</v>
      </c>
      <c r="K20" s="164">
        <v>0</v>
      </c>
      <c r="L20" s="75">
        <f t="shared" si="2"/>
        <v>0</v>
      </c>
      <c r="M20" s="54"/>
    </row>
    <row r="21" spans="1:14" ht="16.149999999999999" customHeight="1">
      <c r="A21" s="336"/>
      <c r="B21" s="53" t="s">
        <v>235</v>
      </c>
      <c r="C21" s="21" t="s">
        <v>236</v>
      </c>
      <c r="D21" s="154">
        <v>0</v>
      </c>
      <c r="E21" s="195">
        <v>0</v>
      </c>
      <c r="F21" s="154">
        <v>0</v>
      </c>
      <c r="G21" s="204">
        <v>0</v>
      </c>
      <c r="H21" s="75">
        <f t="shared" si="0"/>
        <v>0</v>
      </c>
      <c r="I21" s="213">
        <f t="shared" si="1"/>
        <v>0</v>
      </c>
      <c r="J21" s="164">
        <v>0</v>
      </c>
      <c r="K21" s="164">
        <v>0</v>
      </c>
      <c r="L21" s="75">
        <f t="shared" si="2"/>
        <v>0</v>
      </c>
      <c r="M21" s="54"/>
    </row>
    <row r="22" spans="1:14" ht="16.149999999999999" customHeight="1">
      <c r="A22" s="339"/>
      <c r="B22" s="109" t="s">
        <v>237</v>
      </c>
      <c r="C22" s="21">
        <v>0</v>
      </c>
      <c r="D22" s="158">
        <v>40</v>
      </c>
      <c r="E22" s="198">
        <f>D22*Tvorba_dokumentace</f>
        <v>32000</v>
      </c>
      <c r="F22" s="158">
        <v>0</v>
      </c>
      <c r="G22" s="208">
        <f>F22*Tvorba_dokumentace</f>
        <v>0</v>
      </c>
      <c r="H22" s="108">
        <f t="shared" si="0"/>
        <v>40</v>
      </c>
      <c r="I22" s="217">
        <f t="shared" si="1"/>
        <v>32000</v>
      </c>
      <c r="J22" s="168">
        <v>0</v>
      </c>
      <c r="K22" s="168">
        <v>0</v>
      </c>
      <c r="L22" s="108">
        <f t="shared" si="2"/>
        <v>0</v>
      </c>
      <c r="M22" s="68"/>
      <c r="N22" s="107"/>
    </row>
    <row r="23" spans="1:14" ht="16.149999999999999" customHeight="1" thickBot="1">
      <c r="A23" s="337"/>
      <c r="B23" s="56" t="s">
        <v>238</v>
      </c>
      <c r="C23" s="27" t="s">
        <v>149</v>
      </c>
      <c r="D23" s="155">
        <v>0</v>
      </c>
      <c r="E23" s="196">
        <v>0</v>
      </c>
      <c r="F23" s="155">
        <v>0</v>
      </c>
      <c r="G23" s="205">
        <v>0</v>
      </c>
      <c r="H23" s="76">
        <f t="shared" si="0"/>
        <v>0</v>
      </c>
      <c r="I23" s="214">
        <f t="shared" si="1"/>
        <v>0</v>
      </c>
      <c r="J23" s="165">
        <v>0</v>
      </c>
      <c r="K23" s="165">
        <v>0</v>
      </c>
      <c r="L23" s="76">
        <f t="shared" si="2"/>
        <v>0</v>
      </c>
      <c r="M23" s="58"/>
    </row>
    <row r="24" spans="1:14" ht="16.149999999999999" customHeight="1" thickTop="1">
      <c r="A24" s="335" t="s">
        <v>239</v>
      </c>
      <c r="B24" s="60" t="s">
        <v>240</v>
      </c>
      <c r="C24" s="63">
        <v>0</v>
      </c>
      <c r="D24" s="156">
        <v>16</v>
      </c>
      <c r="E24" s="197">
        <f>D24*Ostatní</f>
        <v>16000</v>
      </c>
      <c r="F24" s="156">
        <v>0</v>
      </c>
      <c r="G24" s="206">
        <f>F24*Ostatní</f>
        <v>0</v>
      </c>
      <c r="H24" s="77">
        <f t="shared" si="0"/>
        <v>16</v>
      </c>
      <c r="I24" s="215">
        <f t="shared" si="1"/>
        <v>16000</v>
      </c>
      <c r="J24" s="166">
        <v>0</v>
      </c>
      <c r="K24" s="166">
        <v>0</v>
      </c>
      <c r="L24" s="77">
        <f t="shared" si="2"/>
        <v>0</v>
      </c>
      <c r="M24" s="104"/>
      <c r="N24" s="107"/>
    </row>
    <row r="25" spans="1:14" ht="16.149999999999999" customHeight="1">
      <c r="A25" s="336"/>
      <c r="B25" s="53" t="s">
        <v>241</v>
      </c>
      <c r="C25" s="21">
        <v>0</v>
      </c>
      <c r="D25" s="157">
        <v>8</v>
      </c>
      <c r="E25" s="199">
        <f>D25*Ostatní</f>
        <v>8000</v>
      </c>
      <c r="F25" s="157">
        <v>0</v>
      </c>
      <c r="G25" s="207">
        <f>F25*Ostatní</f>
        <v>0</v>
      </c>
      <c r="H25" s="78">
        <f t="shared" si="0"/>
        <v>8</v>
      </c>
      <c r="I25" s="216">
        <f t="shared" si="1"/>
        <v>8000</v>
      </c>
      <c r="J25" s="167">
        <v>0</v>
      </c>
      <c r="K25" s="167">
        <v>0</v>
      </c>
      <c r="L25" s="78">
        <f t="shared" si="2"/>
        <v>0</v>
      </c>
      <c r="M25" s="55"/>
      <c r="N25" s="107"/>
    </row>
    <row r="26" spans="1:14" ht="16.149999999999999" customHeight="1">
      <c r="A26" s="336"/>
      <c r="B26" s="53" t="s">
        <v>242</v>
      </c>
      <c r="C26" s="21" t="s">
        <v>243</v>
      </c>
      <c r="D26" s="154">
        <v>0</v>
      </c>
      <c r="E26" s="195">
        <v>0</v>
      </c>
      <c r="F26" s="154">
        <v>0</v>
      </c>
      <c r="G26" s="204">
        <v>0</v>
      </c>
      <c r="H26" s="75">
        <f t="shared" si="0"/>
        <v>0</v>
      </c>
      <c r="I26" s="213">
        <f t="shared" si="1"/>
        <v>0</v>
      </c>
      <c r="J26" s="164">
        <v>0</v>
      </c>
      <c r="K26" s="164">
        <v>0</v>
      </c>
      <c r="L26" s="75">
        <f t="shared" si="2"/>
        <v>0</v>
      </c>
      <c r="M26" s="54"/>
    </row>
    <row r="27" spans="1:14" ht="16.149999999999999" customHeight="1">
      <c r="A27" s="336"/>
      <c r="B27" s="53" t="s">
        <v>244</v>
      </c>
      <c r="C27" s="21" t="s">
        <v>149</v>
      </c>
      <c r="D27" s="154">
        <v>0</v>
      </c>
      <c r="E27" s="195">
        <v>0</v>
      </c>
      <c r="F27" s="154">
        <v>0</v>
      </c>
      <c r="G27" s="204">
        <v>0</v>
      </c>
      <c r="H27" s="75">
        <f t="shared" si="0"/>
        <v>0</v>
      </c>
      <c r="I27" s="213">
        <f t="shared" si="1"/>
        <v>0</v>
      </c>
      <c r="J27" s="164">
        <v>16</v>
      </c>
      <c r="K27" s="164">
        <v>0</v>
      </c>
      <c r="L27" s="75">
        <f t="shared" si="2"/>
        <v>16</v>
      </c>
      <c r="M27" s="54"/>
    </row>
    <row r="28" spans="1:14" ht="16.149999999999999" customHeight="1">
      <c r="A28" s="336"/>
      <c r="B28" s="53" t="s">
        <v>245</v>
      </c>
      <c r="C28" s="21" t="s">
        <v>151</v>
      </c>
      <c r="D28" s="154">
        <v>0</v>
      </c>
      <c r="E28" s="195">
        <v>0</v>
      </c>
      <c r="F28" s="154">
        <v>0</v>
      </c>
      <c r="G28" s="204">
        <v>0</v>
      </c>
      <c r="H28" s="75">
        <f t="shared" si="0"/>
        <v>0</v>
      </c>
      <c r="I28" s="213">
        <f t="shared" si="1"/>
        <v>0</v>
      </c>
      <c r="J28" s="164">
        <v>0</v>
      </c>
      <c r="K28" s="164">
        <v>0</v>
      </c>
      <c r="L28" s="75">
        <f t="shared" si="2"/>
        <v>0</v>
      </c>
      <c r="M28" s="54"/>
    </row>
    <row r="29" spans="1:14" ht="16.149999999999999" customHeight="1">
      <c r="A29" s="336"/>
      <c r="B29" s="52" t="s">
        <v>246</v>
      </c>
      <c r="C29" s="21">
        <v>0</v>
      </c>
      <c r="D29" s="154">
        <v>16</v>
      </c>
      <c r="E29" s="195">
        <f>D29*Analýza</f>
        <v>16000</v>
      </c>
      <c r="F29" s="154">
        <v>0</v>
      </c>
      <c r="G29" s="204">
        <f>F29*Analýza</f>
        <v>0</v>
      </c>
      <c r="H29" s="75">
        <f t="shared" si="0"/>
        <v>16</v>
      </c>
      <c r="I29" s="213">
        <f t="shared" si="1"/>
        <v>16000</v>
      </c>
      <c r="J29" s="164">
        <v>24</v>
      </c>
      <c r="K29" s="164">
        <v>0</v>
      </c>
      <c r="L29" s="75">
        <f t="shared" si="2"/>
        <v>24</v>
      </c>
      <c r="M29" s="68"/>
      <c r="N29" s="107"/>
    </row>
    <row r="30" spans="1:14" ht="16.149999999999999" customHeight="1">
      <c r="A30" s="336"/>
      <c r="B30" s="53" t="s">
        <v>247</v>
      </c>
      <c r="C30" s="21">
        <v>0</v>
      </c>
      <c r="D30" s="154">
        <v>24</v>
      </c>
      <c r="E30" s="195">
        <f>D30*Analýza</f>
        <v>24000</v>
      </c>
      <c r="F30" s="154">
        <v>0</v>
      </c>
      <c r="G30" s="204">
        <f>F30*Analýza</f>
        <v>0</v>
      </c>
      <c r="H30" s="75">
        <f t="shared" si="0"/>
        <v>24</v>
      </c>
      <c r="I30" s="213">
        <f t="shared" si="1"/>
        <v>24000</v>
      </c>
      <c r="J30" s="164">
        <v>80</v>
      </c>
      <c r="K30" s="164">
        <v>0</v>
      </c>
      <c r="L30" s="75">
        <f t="shared" si="2"/>
        <v>80</v>
      </c>
      <c r="M30" s="68"/>
      <c r="N30" s="107"/>
    </row>
    <row r="31" spans="1:14" ht="16.149999999999999" customHeight="1">
      <c r="A31" s="339"/>
      <c r="B31" s="109" t="s">
        <v>248</v>
      </c>
      <c r="C31" s="21">
        <v>0</v>
      </c>
      <c r="D31" s="158">
        <v>40</v>
      </c>
      <c r="E31" s="198">
        <f>D31*Tvorba_dokumentace</f>
        <v>32000</v>
      </c>
      <c r="F31" s="158">
        <v>0</v>
      </c>
      <c r="G31" s="198">
        <f>F31*Tvorba_dokumentace</f>
        <v>0</v>
      </c>
      <c r="H31" s="108">
        <f t="shared" si="0"/>
        <v>40</v>
      </c>
      <c r="I31" s="217">
        <f t="shared" si="1"/>
        <v>32000</v>
      </c>
      <c r="J31" s="168">
        <v>0</v>
      </c>
      <c r="K31" s="168">
        <v>0</v>
      </c>
      <c r="L31" s="108">
        <f t="shared" si="2"/>
        <v>0</v>
      </c>
      <c r="M31" s="110"/>
      <c r="N31" s="107"/>
    </row>
    <row r="32" spans="1:14" ht="16.149999999999999" customHeight="1" thickBot="1">
      <c r="A32" s="337"/>
      <c r="B32" s="56" t="s">
        <v>249</v>
      </c>
      <c r="C32" s="27" t="s">
        <v>230</v>
      </c>
      <c r="D32" s="155">
        <v>0</v>
      </c>
      <c r="E32" s="196">
        <f>D32*Analýza</f>
        <v>0</v>
      </c>
      <c r="F32" s="155">
        <v>0</v>
      </c>
      <c r="G32" s="205">
        <f>F32*Analýza</f>
        <v>0</v>
      </c>
      <c r="H32" s="76">
        <f t="shared" si="0"/>
        <v>0</v>
      </c>
      <c r="I32" s="214">
        <f t="shared" si="1"/>
        <v>0</v>
      </c>
      <c r="J32" s="165">
        <v>0</v>
      </c>
      <c r="K32" s="165">
        <v>0</v>
      </c>
      <c r="L32" s="76">
        <f t="shared" si="2"/>
        <v>0</v>
      </c>
      <c r="M32" s="58"/>
    </row>
    <row r="33" spans="1:14" ht="16.149999999999999" customHeight="1" thickTop="1">
      <c r="A33" s="335" t="s">
        <v>250</v>
      </c>
      <c r="B33" s="60" t="s">
        <v>251</v>
      </c>
      <c r="C33" s="63">
        <v>0</v>
      </c>
      <c r="D33" s="156">
        <v>16</v>
      </c>
      <c r="E33" s="197">
        <f>D33*Ostatní</f>
        <v>16000</v>
      </c>
      <c r="F33" s="156">
        <v>0</v>
      </c>
      <c r="G33" s="206">
        <f>F33*Ostatní</f>
        <v>0</v>
      </c>
      <c r="H33" s="77">
        <f t="shared" si="0"/>
        <v>16</v>
      </c>
      <c r="I33" s="215">
        <f t="shared" si="1"/>
        <v>16000</v>
      </c>
      <c r="J33" s="166">
        <v>0</v>
      </c>
      <c r="K33" s="166">
        <v>0</v>
      </c>
      <c r="L33" s="77">
        <f t="shared" si="2"/>
        <v>0</v>
      </c>
      <c r="M33" s="104"/>
      <c r="N33" s="107"/>
    </row>
    <row r="34" spans="1:14" ht="16.149999999999999" customHeight="1">
      <c r="A34" s="336"/>
      <c r="B34" s="53" t="s">
        <v>252</v>
      </c>
      <c r="C34" s="21">
        <v>0</v>
      </c>
      <c r="D34" s="154">
        <v>24</v>
      </c>
      <c r="E34" s="195">
        <f>D34*Ostatní</f>
        <v>24000</v>
      </c>
      <c r="F34" s="154">
        <v>0</v>
      </c>
      <c r="G34" s="204">
        <f>F34*Ostatní</f>
        <v>0</v>
      </c>
      <c r="H34" s="75">
        <f t="shared" si="0"/>
        <v>24</v>
      </c>
      <c r="I34" s="213">
        <f t="shared" si="1"/>
        <v>24000</v>
      </c>
      <c r="J34" s="164">
        <v>0</v>
      </c>
      <c r="K34" s="164">
        <v>0</v>
      </c>
      <c r="L34" s="75">
        <f t="shared" si="2"/>
        <v>0</v>
      </c>
      <c r="M34" s="55"/>
      <c r="N34" s="107"/>
    </row>
    <row r="35" spans="1:14" ht="16.149999999999999" customHeight="1">
      <c r="A35" s="336"/>
      <c r="B35" s="53" t="s">
        <v>253</v>
      </c>
      <c r="C35" s="21" t="s">
        <v>149</v>
      </c>
      <c r="D35" s="154">
        <v>0</v>
      </c>
      <c r="E35" s="195">
        <v>0</v>
      </c>
      <c r="F35" s="154">
        <v>0</v>
      </c>
      <c r="G35" s="204">
        <v>0</v>
      </c>
      <c r="H35" s="75">
        <f t="shared" si="0"/>
        <v>0</v>
      </c>
      <c r="I35" s="213">
        <f t="shared" si="1"/>
        <v>0</v>
      </c>
      <c r="J35" s="164">
        <v>0</v>
      </c>
      <c r="K35" s="164">
        <v>0</v>
      </c>
      <c r="L35" s="75">
        <f t="shared" si="2"/>
        <v>0</v>
      </c>
      <c r="M35" s="54"/>
    </row>
    <row r="36" spans="1:14" ht="16.149999999999999" customHeight="1">
      <c r="A36" s="336"/>
      <c r="B36" s="53" t="s">
        <v>254</v>
      </c>
      <c r="C36" s="21" t="s">
        <v>151</v>
      </c>
      <c r="D36" s="154">
        <v>0</v>
      </c>
      <c r="E36" s="195">
        <v>0</v>
      </c>
      <c r="F36" s="154">
        <v>0</v>
      </c>
      <c r="G36" s="204">
        <v>0</v>
      </c>
      <c r="H36" s="75">
        <f t="shared" si="0"/>
        <v>0</v>
      </c>
      <c r="I36" s="213">
        <f t="shared" si="1"/>
        <v>0</v>
      </c>
      <c r="J36" s="164">
        <v>0</v>
      </c>
      <c r="K36" s="164">
        <v>0</v>
      </c>
      <c r="L36" s="75">
        <f t="shared" si="2"/>
        <v>0</v>
      </c>
      <c r="M36" s="54"/>
    </row>
    <row r="37" spans="1:14" ht="16.149999999999999" customHeight="1">
      <c r="A37" s="336"/>
      <c r="B37" s="67" t="s">
        <v>255</v>
      </c>
      <c r="C37" s="21">
        <v>0</v>
      </c>
      <c r="D37" s="154">
        <v>24</v>
      </c>
      <c r="E37" s="195">
        <f>D37*Analýza</f>
        <v>24000</v>
      </c>
      <c r="F37" s="154">
        <v>0</v>
      </c>
      <c r="G37" s="204">
        <f>F37*Analýza</f>
        <v>0</v>
      </c>
      <c r="H37" s="75">
        <f t="shared" si="0"/>
        <v>24</v>
      </c>
      <c r="I37" s="213">
        <f t="shared" si="1"/>
        <v>24000</v>
      </c>
      <c r="J37" s="164">
        <v>1200</v>
      </c>
      <c r="K37" s="164">
        <v>0</v>
      </c>
      <c r="L37" s="75">
        <f t="shared" si="2"/>
        <v>1200</v>
      </c>
      <c r="M37" s="68"/>
      <c r="N37" s="107"/>
    </row>
    <row r="38" spans="1:14" ht="16.149999999999999" customHeight="1">
      <c r="A38" s="336"/>
      <c r="B38" s="53" t="s">
        <v>256</v>
      </c>
      <c r="C38" s="21">
        <v>0</v>
      </c>
      <c r="D38" s="154">
        <v>40</v>
      </c>
      <c r="E38" s="195">
        <f>D38*Analýza</f>
        <v>40000</v>
      </c>
      <c r="F38" s="154">
        <v>0</v>
      </c>
      <c r="G38" s="204">
        <f>F38*Analýza</f>
        <v>0</v>
      </c>
      <c r="H38" s="75">
        <f t="shared" si="0"/>
        <v>40</v>
      </c>
      <c r="I38" s="213">
        <f t="shared" si="1"/>
        <v>40000</v>
      </c>
      <c r="J38" s="164">
        <v>160</v>
      </c>
      <c r="K38" s="164">
        <v>0</v>
      </c>
      <c r="L38" s="75">
        <f t="shared" si="2"/>
        <v>160</v>
      </c>
      <c r="M38" s="54"/>
      <c r="N38" s="107"/>
    </row>
    <row r="39" spans="1:14" ht="16.149999999999999" customHeight="1" thickBot="1">
      <c r="A39" s="337"/>
      <c r="B39" s="56" t="s">
        <v>257</v>
      </c>
      <c r="C39" s="27">
        <v>0</v>
      </c>
      <c r="D39" s="155">
        <v>400</v>
      </c>
      <c r="E39" s="196">
        <f>D39*Analýza</f>
        <v>400000</v>
      </c>
      <c r="F39" s="155">
        <v>0</v>
      </c>
      <c r="G39" s="205">
        <f>F39*Analýza</f>
        <v>0</v>
      </c>
      <c r="H39" s="76">
        <f t="shared" si="0"/>
        <v>400</v>
      </c>
      <c r="I39" s="214">
        <f t="shared" si="1"/>
        <v>400000</v>
      </c>
      <c r="J39" s="165">
        <v>0</v>
      </c>
      <c r="K39" s="165">
        <v>0</v>
      </c>
      <c r="L39" s="76">
        <f t="shared" si="2"/>
        <v>0</v>
      </c>
      <c r="M39" s="72"/>
    </row>
    <row r="40" spans="1:14" ht="16.149999999999999" customHeight="1" thickTop="1">
      <c r="A40" s="338" t="s">
        <v>258</v>
      </c>
      <c r="B40" s="59" t="s">
        <v>259</v>
      </c>
      <c r="C40" s="64">
        <v>0</v>
      </c>
      <c r="D40" s="159">
        <v>120</v>
      </c>
      <c r="E40" s="200">
        <f>D40*Vedení_projektu</f>
        <v>180000</v>
      </c>
      <c r="F40" s="159">
        <v>0</v>
      </c>
      <c r="G40" s="209">
        <f>F40*Vedení_projektu</f>
        <v>0</v>
      </c>
      <c r="H40" s="79">
        <f t="shared" si="0"/>
        <v>120</v>
      </c>
      <c r="I40" s="218">
        <f t="shared" si="1"/>
        <v>180000</v>
      </c>
      <c r="J40" s="169">
        <v>80</v>
      </c>
      <c r="K40" s="169">
        <v>0</v>
      </c>
      <c r="L40" s="79">
        <f t="shared" si="2"/>
        <v>80</v>
      </c>
      <c r="M40" s="104"/>
      <c r="N40" s="107"/>
    </row>
    <row r="41" spans="1:14" ht="16.149999999999999" customHeight="1">
      <c r="A41" s="336"/>
      <c r="B41" s="53" t="s">
        <v>260</v>
      </c>
      <c r="C41" s="21">
        <v>0</v>
      </c>
      <c r="D41" s="160">
        <v>40</v>
      </c>
      <c r="E41" s="201">
        <f>D41*(2*Analýza+Ostatní+Vedení_projektu)</f>
        <v>180000</v>
      </c>
      <c r="F41" s="160">
        <v>0</v>
      </c>
      <c r="G41" s="210">
        <f>F41*(2*Analýza+Ostatní+Vedení_projektu+Konfigurace__vývoj)</f>
        <v>0</v>
      </c>
      <c r="H41" s="80">
        <f t="shared" si="0"/>
        <v>40</v>
      </c>
      <c r="I41" s="219">
        <f t="shared" si="1"/>
        <v>180000</v>
      </c>
      <c r="J41" s="170">
        <v>0</v>
      </c>
      <c r="K41" s="170">
        <v>0</v>
      </c>
      <c r="L41" s="80">
        <f t="shared" si="2"/>
        <v>0</v>
      </c>
      <c r="M41" s="68"/>
      <c r="N41" s="107"/>
    </row>
    <row r="42" spans="1:14" ht="16.149999999999999" customHeight="1" thickBot="1">
      <c r="A42" s="337"/>
      <c r="B42" s="56" t="s">
        <v>261</v>
      </c>
      <c r="C42" s="27">
        <v>0</v>
      </c>
      <c r="D42" s="161">
        <v>12</v>
      </c>
      <c r="E42" s="202">
        <f>D42*Vedení_projektu</f>
        <v>18000</v>
      </c>
      <c r="F42" s="161">
        <v>0</v>
      </c>
      <c r="G42" s="211">
        <f>F42*Vedení_projektu</f>
        <v>0</v>
      </c>
      <c r="H42" s="81">
        <f t="shared" si="0"/>
        <v>12</v>
      </c>
      <c r="I42" s="220">
        <f t="shared" si="1"/>
        <v>18000</v>
      </c>
      <c r="J42" s="171">
        <v>12</v>
      </c>
      <c r="K42" s="171">
        <v>0</v>
      </c>
      <c r="L42" s="81">
        <f t="shared" si="2"/>
        <v>12</v>
      </c>
      <c r="M42" s="72"/>
      <c r="N42" s="107"/>
    </row>
    <row r="43" spans="1:14" ht="16.149999999999999" customHeight="1" thickTop="1">
      <c r="C43" s="62" t="s">
        <v>182</v>
      </c>
      <c r="D43" s="61">
        <f t="shared" ref="D43:L43" si="3">SUM(D4:D42)</f>
        <v>852</v>
      </c>
      <c r="E43" s="221">
        <f t="shared" si="3"/>
        <v>1042000</v>
      </c>
      <c r="F43" s="61">
        <f t="shared" si="3"/>
        <v>0</v>
      </c>
      <c r="G43" s="221">
        <f t="shared" si="3"/>
        <v>0</v>
      </c>
      <c r="H43" s="61">
        <f t="shared" si="3"/>
        <v>852</v>
      </c>
      <c r="I43" s="221">
        <f t="shared" si="3"/>
        <v>1042000</v>
      </c>
      <c r="J43" s="61">
        <f t="shared" si="3"/>
        <v>1795</v>
      </c>
      <c r="K43" s="61">
        <f t="shared" si="3"/>
        <v>0</v>
      </c>
      <c r="L43" s="61">
        <f t="shared" si="3"/>
        <v>1795</v>
      </c>
    </row>
    <row r="44" spans="1:14">
      <c r="C44" s="105"/>
      <c r="D44" s="106"/>
      <c r="E44" s="106"/>
      <c r="L44" s="173" t="s">
        <v>262</v>
      </c>
    </row>
    <row r="46" spans="1:14">
      <c r="B46" s="222" t="s">
        <v>263</v>
      </c>
      <c r="D46" s="107" t="s">
        <v>264</v>
      </c>
      <c r="E46" s="107"/>
    </row>
    <row r="47" spans="1:14">
      <c r="D47" s="107" t="s">
        <v>265</v>
      </c>
      <c r="E47" s="107"/>
    </row>
    <row r="49" spans="4:7">
      <c r="D49" s="107" t="s">
        <v>266</v>
      </c>
      <c r="E49" s="107"/>
    </row>
    <row r="51" spans="4:7">
      <c r="D51" s="107" t="s">
        <v>267</v>
      </c>
      <c r="E51" s="107"/>
    </row>
    <row r="52" spans="4:7">
      <c r="D52" s="107" t="s">
        <v>268</v>
      </c>
      <c r="E52" s="107"/>
    </row>
    <row r="53" spans="4:7">
      <c r="D53" s="107" t="s">
        <v>269</v>
      </c>
      <c r="E53" s="107"/>
    </row>
    <row r="55" spans="4:7" ht="118.9">
      <c r="D55" s="49" t="s">
        <v>270</v>
      </c>
      <c r="E55" s="49" t="s">
        <v>271</v>
      </c>
      <c r="G55" s="49" t="s">
        <v>272</v>
      </c>
    </row>
  </sheetData>
  <mergeCells count="7">
    <mergeCell ref="A1:M1"/>
    <mergeCell ref="A4:A9"/>
    <mergeCell ref="A40:A42"/>
    <mergeCell ref="A10:A16"/>
    <mergeCell ref="A17:A23"/>
    <mergeCell ref="A24:A32"/>
    <mergeCell ref="A33:A39"/>
  </mergeCells>
  <pageMargins left="0.75" right="0.75" top="1" bottom="1" header="0.5" footer="0.5"/>
  <pageSetup fitToHeight="0" orientation="landscape" r:id="rId1"/>
  <extLst>
    <ext xmlns:x14="http://schemas.microsoft.com/office/spreadsheetml/2009/9/main" uri="{78C0D931-6437-407d-A8EE-F0AAD7539E65}">
      <x14:conditionalFormattings>
        <x14:conditionalFormatting xmlns:xm="http://schemas.microsoft.com/office/excel/2006/main">
          <x14:cfRule type="iconSet" priority="26" id="{C4DD3A4F-4B57-412B-B63D-D2FA6325A2DD}">
            <x14:iconSet iconSet="3Symbols" showValue="0" custom="1">
              <x14:cfvo type="percent">
                <xm:f>0</xm:f>
              </x14:cfvo>
              <x14:cfvo type="num">
                <xm:f>0.5</xm:f>
              </x14:cfvo>
              <x14:cfvo type="num">
                <xm:f>1</xm:f>
              </x14:cfvo>
              <x14:cfIcon iconSet="3Symbols" iconId="0"/>
              <x14:cfIcon iconSet="3Symbols" iconId="1"/>
              <x14:cfIcon iconSet="3Symbols" iconId="2"/>
            </x14:iconSet>
          </x14:cfRule>
          <xm:sqref>C4</xm:sqref>
        </x14:conditionalFormatting>
        <x14:conditionalFormatting xmlns:xm="http://schemas.microsoft.com/office/excel/2006/main">
          <x14:cfRule type="iconSet" priority="11" id="{C6C0EA41-C60C-4507-8D47-C1C74E83B016}">
            <x14:iconSet iconSet="3Symbols" showValue="0" custom="1">
              <x14:cfvo type="percent">
                <xm:f>0</xm:f>
              </x14:cfvo>
              <x14:cfvo type="num">
                <xm:f>0.5</xm:f>
              </x14:cfvo>
              <x14:cfvo type="num">
                <xm:f>1</xm:f>
              </x14:cfvo>
              <x14:cfIcon iconSet="3Symbols" iconId="0"/>
              <x14:cfIcon iconSet="3Symbols" iconId="1"/>
              <x14:cfIcon iconSet="3Symbols" iconId="2"/>
            </x14:iconSet>
          </x14:cfRule>
          <xm:sqref>C5:C8</xm:sqref>
        </x14:conditionalFormatting>
        <x14:conditionalFormatting xmlns:xm="http://schemas.microsoft.com/office/excel/2006/main">
          <x14:cfRule type="iconSet" priority="4" id="{36E63E8C-C735-4177-8C8C-21F40F85BF31}">
            <x14:iconSet iconSet="3Symbols" showValue="0" custom="1">
              <x14:cfvo type="percent">
                <xm:f>0</xm:f>
              </x14:cfvo>
              <x14:cfvo type="num">
                <xm:f>0.5</xm:f>
              </x14:cfvo>
              <x14:cfvo type="num">
                <xm:f>1</xm:f>
              </x14:cfvo>
              <x14:cfIcon iconSet="3Symbols" iconId="0"/>
              <x14:cfIcon iconSet="3Symbols" iconId="1"/>
              <x14:cfIcon iconSet="3Symbols" iconId="2"/>
            </x14:iconSet>
          </x14:cfRule>
          <xm:sqref>C9</xm:sqref>
        </x14:conditionalFormatting>
        <x14:conditionalFormatting xmlns:xm="http://schemas.microsoft.com/office/excel/2006/main">
          <x14:cfRule type="iconSet" priority="25" id="{99FAA3FD-C009-4E60-82DC-201D06C105C6}">
            <x14:iconSet iconSet="3Symbols" showValue="0" custom="1">
              <x14:cfvo type="percent">
                <xm:f>0</xm:f>
              </x14:cfvo>
              <x14:cfvo type="num">
                <xm:f>0.5</xm:f>
              </x14:cfvo>
              <x14:cfvo type="num">
                <xm:f>1</xm:f>
              </x14:cfvo>
              <x14:cfIcon iconSet="3Symbols" iconId="0"/>
              <x14:cfIcon iconSet="3Symbols" iconId="1"/>
              <x14:cfIcon iconSet="3Symbols" iconId="2"/>
            </x14:iconSet>
          </x14:cfRule>
          <xm:sqref>C10</xm:sqref>
        </x14:conditionalFormatting>
        <x14:conditionalFormatting xmlns:xm="http://schemas.microsoft.com/office/excel/2006/main">
          <x14:cfRule type="iconSet" priority="10" id="{7BD36F51-880D-4BA3-A8C2-CCDC5E265884}">
            <x14:iconSet iconSet="3Symbols" showValue="0" custom="1">
              <x14:cfvo type="percent">
                <xm:f>0</xm:f>
              </x14:cfvo>
              <x14:cfvo type="num">
                <xm:f>0.5</xm:f>
              </x14:cfvo>
              <x14:cfvo type="num">
                <xm:f>1</xm:f>
              </x14:cfvo>
              <x14:cfIcon iconSet="3Symbols" iconId="0"/>
              <x14:cfIcon iconSet="3Symbols" iconId="1"/>
              <x14:cfIcon iconSet="3Symbols" iconId="2"/>
            </x14:iconSet>
          </x14:cfRule>
          <xm:sqref>C11:C15</xm:sqref>
        </x14:conditionalFormatting>
        <x14:conditionalFormatting xmlns:xm="http://schemas.microsoft.com/office/excel/2006/main">
          <x14:cfRule type="iconSet" priority="5" id="{C8E00D78-58E0-4CC2-8D83-C9BF751F4FE2}">
            <x14:iconSet iconSet="3Symbols" showValue="0" custom="1">
              <x14:cfvo type="percent">
                <xm:f>0</xm:f>
              </x14:cfvo>
              <x14:cfvo type="num">
                <xm:f>0.5</xm:f>
              </x14:cfvo>
              <x14:cfvo type="num">
                <xm:f>1</xm:f>
              </x14:cfvo>
              <x14:cfIcon iconSet="3Symbols" iconId="0"/>
              <x14:cfIcon iconSet="3Symbols" iconId="1"/>
              <x14:cfIcon iconSet="3Symbols" iconId="2"/>
            </x14:iconSet>
          </x14:cfRule>
          <xm:sqref>C16</xm:sqref>
        </x14:conditionalFormatting>
        <x14:conditionalFormatting xmlns:xm="http://schemas.microsoft.com/office/excel/2006/main">
          <x14:cfRule type="iconSet" priority="24" id="{ADC4E75C-F42B-4B46-AF6F-215307651A4F}">
            <x14:iconSet iconSet="3Symbols" showValue="0" custom="1">
              <x14:cfvo type="percent">
                <xm:f>0</xm:f>
              </x14:cfvo>
              <x14:cfvo type="num">
                <xm:f>0.5</xm:f>
              </x14:cfvo>
              <x14:cfvo type="num">
                <xm:f>1</xm:f>
              </x14:cfvo>
              <x14:cfIcon iconSet="3Symbols" iconId="0"/>
              <x14:cfIcon iconSet="3Symbols" iconId="1"/>
              <x14:cfIcon iconSet="3Symbols" iconId="2"/>
            </x14:iconSet>
          </x14:cfRule>
          <xm:sqref>C17</xm:sqref>
        </x14:conditionalFormatting>
        <x14:conditionalFormatting xmlns:xm="http://schemas.microsoft.com/office/excel/2006/main">
          <x14:cfRule type="iconSet" priority="9" id="{7087DB80-6D51-4F11-B856-AC063B0E4422}">
            <x14:iconSet iconSet="3Symbols" showValue="0" custom="1">
              <x14:cfvo type="percent">
                <xm:f>0</xm:f>
              </x14:cfvo>
              <x14:cfvo type="num">
                <xm:f>0.5</xm:f>
              </x14:cfvo>
              <x14:cfvo type="num">
                <xm:f>1</xm:f>
              </x14:cfvo>
              <x14:cfIcon iconSet="3Symbols" iconId="0"/>
              <x14:cfIcon iconSet="3Symbols" iconId="1"/>
              <x14:cfIcon iconSet="3Symbols" iconId="2"/>
            </x14:iconSet>
          </x14:cfRule>
          <xm:sqref>C18:C21</xm:sqref>
        </x14:conditionalFormatting>
        <x14:conditionalFormatting xmlns:xm="http://schemas.microsoft.com/office/excel/2006/main">
          <x14:cfRule type="iconSet" priority="2" id="{28FF8F4F-33DF-4C11-99A4-DEFAE9422D45}">
            <x14:iconSet iconSet="3Symbols" showValue="0" custom="1">
              <x14:cfvo type="percent">
                <xm:f>0</xm:f>
              </x14:cfvo>
              <x14:cfvo type="num">
                <xm:f>0.5</xm:f>
              </x14:cfvo>
              <x14:cfvo type="num">
                <xm:f>1</xm:f>
              </x14:cfvo>
              <x14:cfIcon iconSet="3Symbols" iconId="0"/>
              <x14:cfIcon iconSet="3Symbols" iconId="1"/>
              <x14:cfIcon iconSet="3Symbols" iconId="2"/>
            </x14:iconSet>
          </x14:cfRule>
          <xm:sqref>C22</xm:sqref>
        </x14:conditionalFormatting>
        <x14:conditionalFormatting xmlns:xm="http://schemas.microsoft.com/office/excel/2006/main">
          <x14:cfRule type="iconSet" priority="6" id="{FF40BAAA-A91A-4951-BFC8-59654735B077}">
            <x14:iconSet iconSet="3Symbols" showValue="0" custom="1">
              <x14:cfvo type="percent">
                <xm:f>0</xm:f>
              </x14:cfvo>
              <x14:cfvo type="num">
                <xm:f>0.5</xm:f>
              </x14:cfvo>
              <x14:cfvo type="num">
                <xm:f>1</xm:f>
              </x14:cfvo>
              <x14:cfIcon iconSet="3Symbols" iconId="0"/>
              <x14:cfIcon iconSet="3Symbols" iconId="1"/>
              <x14:cfIcon iconSet="3Symbols" iconId="2"/>
            </x14:iconSet>
          </x14:cfRule>
          <xm:sqref>C23</xm:sqref>
        </x14:conditionalFormatting>
        <x14:conditionalFormatting xmlns:xm="http://schemas.microsoft.com/office/excel/2006/main">
          <x14:cfRule type="iconSet" priority="23" id="{CB688698-9B9F-413E-8CD5-24D71260C8E0}">
            <x14:iconSet iconSet="3Symbols" showValue="0" custom="1">
              <x14:cfvo type="percent">
                <xm:f>0</xm:f>
              </x14:cfvo>
              <x14:cfvo type="num">
                <xm:f>0.5</xm:f>
              </x14:cfvo>
              <x14:cfvo type="num">
                <xm:f>1</xm:f>
              </x14:cfvo>
              <x14:cfIcon iconSet="3Symbols" iconId="0"/>
              <x14:cfIcon iconSet="3Symbols" iconId="1"/>
              <x14:cfIcon iconSet="3Symbols" iconId="2"/>
            </x14:iconSet>
          </x14:cfRule>
          <xm:sqref>C24</xm:sqref>
        </x14:conditionalFormatting>
        <x14:conditionalFormatting xmlns:xm="http://schemas.microsoft.com/office/excel/2006/main">
          <x14:cfRule type="iconSet" priority="14" id="{A7219DB7-8C4E-46FC-A949-1714ED6E4BB7}">
            <x14:iconSet iconSet="3Symbols" showValue="0" custom="1">
              <x14:cfvo type="percent">
                <xm:f>0</xm:f>
              </x14:cfvo>
              <x14:cfvo type="num">
                <xm:f>0.5</xm:f>
              </x14:cfvo>
              <x14:cfvo type="num">
                <xm:f>1</xm:f>
              </x14:cfvo>
              <x14:cfIcon iconSet="3Symbols" iconId="0"/>
              <x14:cfIcon iconSet="3Symbols" iconId="1"/>
              <x14:cfIcon iconSet="3Symbols" iconId="2"/>
            </x14:iconSet>
          </x14:cfRule>
          <xm:sqref>C25</xm:sqref>
        </x14:conditionalFormatting>
        <x14:conditionalFormatting xmlns:xm="http://schemas.microsoft.com/office/excel/2006/main">
          <x14:cfRule type="iconSet" priority="8" id="{9D46ED91-EB90-4CD8-89B4-EBAA0B4E0142}">
            <x14:iconSet iconSet="3Symbols" showValue="0" custom="1">
              <x14:cfvo type="percent">
                <xm:f>0</xm:f>
              </x14:cfvo>
              <x14:cfvo type="num">
                <xm:f>0.5</xm:f>
              </x14:cfvo>
              <x14:cfvo type="num">
                <xm:f>1</xm:f>
              </x14:cfvo>
              <x14:cfIcon iconSet="3Symbols" iconId="0"/>
              <x14:cfIcon iconSet="3Symbols" iconId="1"/>
              <x14:cfIcon iconSet="3Symbols" iconId="2"/>
            </x14:iconSet>
          </x14:cfRule>
          <xm:sqref>C26:C30</xm:sqref>
        </x14:conditionalFormatting>
        <x14:conditionalFormatting xmlns:xm="http://schemas.microsoft.com/office/excel/2006/main">
          <x14:cfRule type="iconSet" priority="1" id="{700D2587-AD99-4E08-A9E4-CE5420795A34}">
            <x14:iconSet iconSet="3Symbols" showValue="0" custom="1">
              <x14:cfvo type="percent">
                <xm:f>0</xm:f>
              </x14:cfvo>
              <x14:cfvo type="num">
                <xm:f>0.5</xm:f>
              </x14:cfvo>
              <x14:cfvo type="num">
                <xm:f>1</xm:f>
              </x14:cfvo>
              <x14:cfIcon iconSet="3Symbols" iconId="0"/>
              <x14:cfIcon iconSet="3Symbols" iconId="1"/>
              <x14:cfIcon iconSet="3Symbols" iconId="2"/>
            </x14:iconSet>
          </x14:cfRule>
          <xm:sqref>C31</xm:sqref>
        </x14:conditionalFormatting>
        <x14:conditionalFormatting xmlns:xm="http://schemas.microsoft.com/office/excel/2006/main">
          <x14:cfRule type="iconSet" priority="17" id="{448180A3-C735-4EEC-A47E-96C6282A5309}">
            <x14:iconSet iconSet="3Symbols" showValue="0" custom="1">
              <x14:cfvo type="percent">
                <xm:f>0</xm:f>
              </x14:cfvo>
              <x14:cfvo type="num">
                <xm:f>0.5</xm:f>
              </x14:cfvo>
              <x14:cfvo type="num">
                <xm:f>1</xm:f>
              </x14:cfvo>
              <x14:cfIcon iconSet="3Symbols" iconId="0"/>
              <x14:cfIcon iconSet="3Symbols" iconId="1"/>
              <x14:cfIcon iconSet="3Symbols" iconId="2"/>
            </x14:iconSet>
          </x14:cfRule>
          <xm:sqref>C32</xm:sqref>
        </x14:conditionalFormatting>
        <x14:conditionalFormatting xmlns:xm="http://schemas.microsoft.com/office/excel/2006/main">
          <x14:cfRule type="iconSet" priority="22" id="{BED2938E-EB82-4F55-8801-13B840424984}">
            <x14:iconSet iconSet="3Symbols" showValue="0" custom="1">
              <x14:cfvo type="percent">
                <xm:f>0</xm:f>
              </x14:cfvo>
              <x14:cfvo type="num">
                <xm:f>0.5</xm:f>
              </x14:cfvo>
              <x14:cfvo type="num">
                <xm:f>1</xm:f>
              </x14:cfvo>
              <x14:cfIcon iconSet="3Symbols" iconId="0"/>
              <x14:cfIcon iconSet="3Symbols" iconId="1"/>
              <x14:cfIcon iconSet="3Symbols" iconId="2"/>
            </x14:iconSet>
          </x14:cfRule>
          <xm:sqref>C33</xm:sqref>
        </x14:conditionalFormatting>
        <x14:conditionalFormatting xmlns:xm="http://schemas.microsoft.com/office/excel/2006/main">
          <x14:cfRule type="iconSet" priority="7" id="{04EB569A-FBBC-414B-B000-3EAF0C080762}">
            <x14:iconSet iconSet="3Symbols" showValue="0" custom="1">
              <x14:cfvo type="percent">
                <xm:f>0</xm:f>
              </x14:cfvo>
              <x14:cfvo type="num">
                <xm:f>0.5</xm:f>
              </x14:cfvo>
              <x14:cfvo type="num">
                <xm:f>1</xm:f>
              </x14:cfvo>
              <x14:cfIcon iconSet="3Symbols" iconId="0"/>
              <x14:cfIcon iconSet="3Symbols" iconId="1"/>
              <x14:cfIcon iconSet="3Symbols" iconId="2"/>
            </x14:iconSet>
          </x14:cfRule>
          <xm:sqref>C34:C38</xm:sqref>
        </x14:conditionalFormatting>
        <x14:conditionalFormatting xmlns:xm="http://schemas.microsoft.com/office/excel/2006/main">
          <x14:cfRule type="iconSet" priority="18" id="{7287E8D8-3F5B-4CEA-BAEE-AEC44D39F51A}">
            <x14:iconSet iconSet="3Symbols" showValue="0" custom="1">
              <x14:cfvo type="percent">
                <xm:f>0</xm:f>
              </x14:cfvo>
              <x14:cfvo type="num">
                <xm:f>0.5</xm:f>
              </x14:cfvo>
              <x14:cfvo type="num">
                <xm:f>1</xm:f>
              </x14:cfvo>
              <x14:cfIcon iconSet="3Symbols" iconId="0"/>
              <x14:cfIcon iconSet="3Symbols" iconId="1"/>
              <x14:cfIcon iconSet="3Symbols" iconId="2"/>
            </x14:iconSet>
          </x14:cfRule>
          <xm:sqref>C39</xm:sqref>
        </x14:conditionalFormatting>
        <x14:conditionalFormatting xmlns:xm="http://schemas.microsoft.com/office/excel/2006/main">
          <x14:cfRule type="iconSet" priority="21" id="{16FC19AF-40F4-464E-B56E-FF02DEC6E2ED}">
            <x14:iconSet iconSet="3Symbols" showValue="0" custom="1">
              <x14:cfvo type="percent">
                <xm:f>0</xm:f>
              </x14:cfvo>
              <x14:cfvo type="num">
                <xm:f>0.5</xm:f>
              </x14:cfvo>
              <x14:cfvo type="num">
                <xm:f>1</xm:f>
              </x14:cfvo>
              <x14:cfIcon iconSet="3Symbols" iconId="0"/>
              <x14:cfIcon iconSet="3Symbols" iconId="1"/>
              <x14:cfIcon iconSet="3Symbols" iconId="2"/>
            </x14:iconSet>
          </x14:cfRule>
          <xm:sqref>C40</xm:sqref>
        </x14:conditionalFormatting>
        <x14:conditionalFormatting xmlns:xm="http://schemas.microsoft.com/office/excel/2006/main">
          <x14:cfRule type="iconSet" priority="19" id="{0769AB7D-A24F-4FE2-93CB-FBE3159C4323}">
            <x14:iconSet iconSet="3Symbols" showValue="0" custom="1">
              <x14:cfvo type="percent">
                <xm:f>0</xm:f>
              </x14:cfvo>
              <x14:cfvo type="num">
                <xm:f>0.5</xm:f>
              </x14:cfvo>
              <x14:cfvo type="num">
                <xm:f>1</xm:f>
              </x14:cfvo>
              <x14:cfIcon iconSet="3Symbols" iconId="0"/>
              <x14:cfIcon iconSet="3Symbols" iconId="1"/>
              <x14:cfIcon iconSet="3Symbols" iconId="2"/>
            </x14:iconSet>
          </x14:cfRule>
          <xm:sqref>C41:C42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workbookViewId="0">
      <selection activeCell="AH39" sqref="AH39"/>
    </sheetView>
  </sheetViews>
  <sheetFormatPr defaultRowHeight="14.45"/>
  <cols>
    <col min="1" max="1" width="42.42578125" customWidth="1"/>
    <col min="2" max="2" width="16.5703125" customWidth="1"/>
    <col min="3" max="3" width="14.7109375" bestFit="1" customWidth="1"/>
    <col min="5" max="5" width="59.7109375" bestFit="1" customWidth="1"/>
  </cols>
  <sheetData>
    <row r="1" spans="1:5" ht="18">
      <c r="A1" s="310" t="s">
        <v>273</v>
      </c>
      <c r="B1" s="310"/>
      <c r="C1" s="310"/>
      <c r="D1" s="310"/>
    </row>
    <row r="2" spans="1:5" ht="15" thickBot="1"/>
    <row r="3" spans="1:5" ht="28.9">
      <c r="A3" s="178" t="s">
        <v>274</v>
      </c>
      <c r="B3" s="179" t="s">
        <v>275</v>
      </c>
      <c r="C3" s="179" t="s">
        <v>276</v>
      </c>
      <c r="D3" s="133" t="s">
        <v>277</v>
      </c>
    </row>
    <row r="4" spans="1:5">
      <c r="A4" s="175" t="s">
        <v>278</v>
      </c>
      <c r="B4" s="180">
        <v>4000</v>
      </c>
      <c r="C4" s="174">
        <v>0</v>
      </c>
      <c r="D4" s="182">
        <f>B4*C4</f>
        <v>0</v>
      </c>
      <c r="E4" s="130" t="s">
        <v>279</v>
      </c>
    </row>
    <row r="5" spans="1:5">
      <c r="A5" s="175" t="s">
        <v>280</v>
      </c>
      <c r="B5" s="180">
        <v>4000</v>
      </c>
      <c r="C5" s="174">
        <v>0</v>
      </c>
      <c r="D5" s="182">
        <f t="shared" ref="D5:D7" si="0">B5*C5</f>
        <v>0</v>
      </c>
      <c r="E5" s="130" t="s">
        <v>279</v>
      </c>
    </row>
    <row r="6" spans="1:5">
      <c r="A6" s="175" t="s">
        <v>281</v>
      </c>
      <c r="B6" s="180">
        <v>6000</v>
      </c>
      <c r="C6" s="174">
        <v>0</v>
      </c>
      <c r="D6" s="182">
        <f t="shared" si="0"/>
        <v>0</v>
      </c>
    </row>
    <row r="7" spans="1:5" ht="15" thickBot="1">
      <c r="A7" s="176" t="s">
        <v>282</v>
      </c>
      <c r="B7" s="181">
        <v>10000</v>
      </c>
      <c r="C7" s="177">
        <v>1</v>
      </c>
      <c r="D7" s="183">
        <f t="shared" si="0"/>
        <v>10000</v>
      </c>
    </row>
    <row r="8" spans="1:5">
      <c r="B8" s="309" t="s">
        <v>283</v>
      </c>
      <c r="C8" s="309"/>
      <c r="D8" s="40">
        <f>SUM(D4:D7)</f>
        <v>10000</v>
      </c>
    </row>
    <row r="10" spans="1:5" ht="18">
      <c r="A10" s="310" t="s">
        <v>284</v>
      </c>
      <c r="B10" s="310"/>
    </row>
    <row r="11" spans="1:5" ht="15" thickBot="1"/>
    <row r="12" spans="1:5">
      <c r="A12" s="178" t="s">
        <v>274</v>
      </c>
      <c r="B12" s="133" t="s">
        <v>285</v>
      </c>
    </row>
    <row r="13" spans="1:5">
      <c r="A13" s="175" t="s">
        <v>286</v>
      </c>
      <c r="B13" s="182">
        <f>'Licence - moduly'!H61</f>
        <v>1390000</v>
      </c>
    </row>
    <row r="14" spans="1:5">
      <c r="A14" s="175" t="s">
        <v>287</v>
      </c>
      <c r="B14" s="182">
        <f>'Moduly - práce etapy'!V32+'Obvyklý průběh implementace'!E43</f>
        <v>2725000</v>
      </c>
    </row>
    <row r="15" spans="1:5">
      <c r="A15" s="175" t="s">
        <v>288</v>
      </c>
      <c r="B15" s="182">
        <f>'Moduly - práce etapy'!W32+'Obvyklý průběh implementace'!G43</f>
        <v>0</v>
      </c>
    </row>
    <row r="16" spans="1:5" ht="15" thickBot="1">
      <c r="A16" s="176" t="s">
        <v>289</v>
      </c>
      <c r="B16" s="183">
        <f>D8</f>
        <v>10000</v>
      </c>
    </row>
    <row r="17" spans="1:2" ht="15.6">
      <c r="A17" s="184" t="s">
        <v>290</v>
      </c>
      <c r="B17" s="185">
        <f>SUM(B13:B16)</f>
        <v>4125000</v>
      </c>
    </row>
    <row r="18" spans="1:2" ht="16.149999999999999" thickBot="1">
      <c r="A18" s="186" t="s">
        <v>291</v>
      </c>
      <c r="B18" s="187">
        <f>'Licence - moduly'!H62</f>
        <v>278000</v>
      </c>
    </row>
  </sheetData>
  <mergeCells count="3">
    <mergeCell ref="B8:C8"/>
    <mergeCell ref="A1:D1"/>
    <mergeCell ref="A10:B10"/>
  </mergeCells>
  <conditionalFormatting sqref="E4:E5">
    <cfRule type="expression" dxfId="1" priority="1">
      <formula>$C$6=0</formula>
    </cfRule>
    <cfRule type="expression" dxfId="0" priority="2">
      <formula>$C$6=1</formula>
    </cfRule>
  </conditionalFormatting>
  <pageMargins left="0.7" right="0.7" top="0.78740157499999996" bottom="0.78740157499999996"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0"/>
  <sheetViews>
    <sheetView zoomScale="85" zoomScaleNormal="85" workbookViewId="0">
      <selection activeCell="D27" sqref="D27"/>
    </sheetView>
  </sheetViews>
  <sheetFormatPr defaultRowHeight="14.45"/>
  <cols>
    <col min="1" max="1" width="22.5703125" customWidth="1"/>
    <col min="2" max="2" width="15.42578125" customWidth="1"/>
    <col min="3" max="3" width="15.5703125" customWidth="1"/>
    <col min="4" max="4" width="16.85546875" customWidth="1"/>
    <col min="5" max="5" width="18.7109375" customWidth="1"/>
    <col min="6" max="6" width="20.28515625" customWidth="1"/>
    <col min="7" max="7" width="25.5703125" customWidth="1"/>
    <col min="8" max="8" width="21.7109375" bestFit="1" customWidth="1"/>
    <col min="11" max="11" width="40.140625" customWidth="1"/>
    <col min="12" max="12" width="19.140625" customWidth="1"/>
  </cols>
  <sheetData>
    <row r="1" spans="1:12" ht="18">
      <c r="A1" s="310" t="s">
        <v>292</v>
      </c>
      <c r="B1" s="310"/>
      <c r="C1" s="310"/>
      <c r="D1" s="310"/>
      <c r="E1" s="310"/>
      <c r="F1" s="310"/>
      <c r="G1" s="310"/>
    </row>
    <row r="3" spans="1:12">
      <c r="A3" s="66" t="s">
        <v>293</v>
      </c>
      <c r="B3" s="250">
        <v>0.06</v>
      </c>
    </row>
    <row r="4" spans="1:12" ht="15" thickBot="1"/>
    <row r="5" spans="1:12" ht="15.6" thickTop="1" thickBot="1">
      <c r="A5" s="251" t="s">
        <v>294</v>
      </c>
      <c r="B5" s="252">
        <v>0</v>
      </c>
      <c r="C5" s="252">
        <v>1</v>
      </c>
      <c r="D5" s="252">
        <v>2</v>
      </c>
      <c r="E5" s="252">
        <v>3</v>
      </c>
      <c r="F5" s="252">
        <v>4</v>
      </c>
      <c r="G5" s="253">
        <v>5</v>
      </c>
    </row>
    <row r="6" spans="1:12">
      <c r="A6" s="254" t="s">
        <v>286</v>
      </c>
      <c r="B6" s="255">
        <f>-'Celkem za implementaci'!B13</f>
        <v>-1390000</v>
      </c>
      <c r="C6" s="255"/>
      <c r="D6" s="255"/>
      <c r="E6" s="255"/>
      <c r="F6" s="255"/>
      <c r="G6" s="256"/>
      <c r="K6" s="282" t="s">
        <v>295</v>
      </c>
      <c r="L6" s="283">
        <v>300000000</v>
      </c>
    </row>
    <row r="7" spans="1:12">
      <c r="A7" s="254" t="s">
        <v>296</v>
      </c>
      <c r="B7" s="180">
        <f>-'Celkem za implementaci'!B14</f>
        <v>-2725000</v>
      </c>
      <c r="C7" s="180"/>
      <c r="D7" s="180"/>
      <c r="E7" s="180"/>
      <c r="F7" s="180"/>
      <c r="G7" s="257"/>
      <c r="K7" s="284" t="s">
        <v>297</v>
      </c>
      <c r="L7" s="285">
        <v>0.08</v>
      </c>
    </row>
    <row r="8" spans="1:12">
      <c r="A8" s="254" t="s">
        <v>298</v>
      </c>
      <c r="B8" s="180">
        <f>-'Celkem za implementaci'!B15</f>
        <v>0</v>
      </c>
      <c r="C8" s="180"/>
      <c r="D8" s="180"/>
      <c r="E8" s="180"/>
      <c r="F8" s="180"/>
      <c r="G8" s="257"/>
      <c r="K8" s="286"/>
      <c r="L8" s="287"/>
    </row>
    <row r="9" spans="1:12">
      <c r="A9" s="254" t="s">
        <v>289</v>
      </c>
      <c r="B9" s="180">
        <f>-'Celkem za implementaci'!B16</f>
        <v>-10000</v>
      </c>
      <c r="C9" s="180">
        <v>0</v>
      </c>
      <c r="D9" s="180">
        <v>0</v>
      </c>
      <c r="E9" s="180">
        <v>0</v>
      </c>
      <c r="F9" s="180">
        <v>0</v>
      </c>
      <c r="G9" s="257">
        <v>0</v>
      </c>
      <c r="K9" s="286" t="s">
        <v>299</v>
      </c>
      <c r="L9" s="285">
        <v>1.1000000000000001</v>
      </c>
    </row>
    <row r="10" spans="1:12">
      <c r="A10" s="254" t="s">
        <v>300</v>
      </c>
      <c r="B10" s="180"/>
      <c r="C10" s="180">
        <v>0</v>
      </c>
      <c r="D10" s="180">
        <f>-'Celkem za implementaci'!B18</f>
        <v>-278000</v>
      </c>
      <c r="E10" s="180">
        <f>-'Celkem za implementaci'!B18</f>
        <v>-278000</v>
      </c>
      <c r="F10" s="180">
        <f>-'Celkem za implementaci'!B18</f>
        <v>-278000</v>
      </c>
      <c r="G10" s="257">
        <f>-'Celkem za implementaci'!B18</f>
        <v>-278000</v>
      </c>
      <c r="K10" s="286" t="s">
        <v>301</v>
      </c>
      <c r="L10" s="287">
        <f>L6*L9*L7-(L6*L7)</f>
        <v>2400000</v>
      </c>
    </row>
    <row r="11" spans="1:12">
      <c r="A11" s="254" t="s">
        <v>302</v>
      </c>
      <c r="B11" s="180">
        <v>-480000</v>
      </c>
      <c r="C11" s="180">
        <v>-480000</v>
      </c>
      <c r="D11" s="180">
        <v>-480000</v>
      </c>
      <c r="E11" s="180">
        <v>-480000</v>
      </c>
      <c r="F11" s="180">
        <v>-480000</v>
      </c>
      <c r="G11" s="180">
        <v>-480000</v>
      </c>
      <c r="K11" s="286"/>
      <c r="L11" s="287"/>
    </row>
    <row r="12" spans="1:12" ht="15" thickBot="1">
      <c r="A12" s="258" t="s">
        <v>303</v>
      </c>
      <c r="B12" s="259"/>
      <c r="C12" s="259">
        <f>L29</f>
        <v>4500000</v>
      </c>
      <c r="D12" s="259">
        <f>L30</f>
        <v>9800000</v>
      </c>
      <c r="E12" s="259">
        <f xml:space="preserve"> L30</f>
        <v>9800000</v>
      </c>
      <c r="F12" s="259">
        <f>L30</f>
        <v>9800000</v>
      </c>
      <c r="G12" s="260">
        <f>L30</f>
        <v>9800000</v>
      </c>
      <c r="K12" s="286" t="s">
        <v>304</v>
      </c>
      <c r="L12" s="285">
        <v>1.2</v>
      </c>
    </row>
    <row r="13" spans="1:12" ht="15" thickTop="1">
      <c r="A13" s="251" t="s">
        <v>305</v>
      </c>
      <c r="B13" s="261">
        <f t="shared" ref="B13:G13" si="0">SUM(B6:B12)</f>
        <v>-4605000</v>
      </c>
      <c r="C13" s="261">
        <f t="shared" si="0"/>
        <v>4020000</v>
      </c>
      <c r="D13" s="261">
        <f t="shared" si="0"/>
        <v>9042000</v>
      </c>
      <c r="E13" s="261">
        <f t="shared" si="0"/>
        <v>9042000</v>
      </c>
      <c r="F13" s="261">
        <f t="shared" si="0"/>
        <v>9042000</v>
      </c>
      <c r="G13" s="262">
        <f t="shared" si="0"/>
        <v>9042000</v>
      </c>
      <c r="K13" s="288" t="s">
        <v>306</v>
      </c>
      <c r="L13" s="289">
        <f>L6*L7*L12-(L6*L7)</f>
        <v>4800000</v>
      </c>
    </row>
    <row r="14" spans="1:12" ht="15" thickBot="1">
      <c r="A14" s="263" t="s">
        <v>307</v>
      </c>
      <c r="B14" s="264">
        <f t="shared" ref="B14:G14" si="1">B13/POWER((1+Diskont),B5)</f>
        <v>-4605000</v>
      </c>
      <c r="C14" s="264">
        <f t="shared" si="1"/>
        <v>3792452.830188679</v>
      </c>
      <c r="D14" s="264">
        <f t="shared" si="1"/>
        <v>8047347.8106087567</v>
      </c>
      <c r="E14" s="264">
        <f t="shared" si="1"/>
        <v>7591837.5571780717</v>
      </c>
      <c r="F14" s="264">
        <f t="shared" si="1"/>
        <v>7162110.9029981801</v>
      </c>
      <c r="G14" s="265">
        <f t="shared" si="1"/>
        <v>6756708.3990548868</v>
      </c>
      <c r="H14" s="266"/>
      <c r="K14" s="286"/>
      <c r="L14" s="287"/>
    </row>
    <row r="15" spans="1:12" ht="15" thickTop="1">
      <c r="A15" s="267" t="s">
        <v>308</v>
      </c>
      <c r="B15" s="261"/>
      <c r="C15" s="261"/>
      <c r="D15" s="261"/>
      <c r="E15" s="261"/>
      <c r="F15" s="261"/>
      <c r="G15" s="262">
        <f>-(SUM(B6:B9)+SUM(C10:G10)+SUM(C11:G11))</f>
        <v>7637000</v>
      </c>
      <c r="H15" s="340" t="s">
        <v>309</v>
      </c>
      <c r="K15" s="286"/>
      <c r="L15" s="287"/>
    </row>
    <row r="16" spans="1:12" ht="15" thickBot="1">
      <c r="A16" s="268" t="s">
        <v>310</v>
      </c>
      <c r="B16" s="259"/>
      <c r="C16" s="259"/>
      <c r="D16" s="259"/>
      <c r="E16" s="259"/>
      <c r="F16" s="259"/>
      <c r="G16" s="260">
        <f>SUM(C12:G12)</f>
        <v>43700000</v>
      </c>
      <c r="H16" s="340"/>
      <c r="K16" s="290" t="s">
        <v>311</v>
      </c>
      <c r="L16" s="291">
        <v>70000000</v>
      </c>
    </row>
    <row r="17" spans="1:12" ht="15" thickTop="1">
      <c r="A17" s="267" t="s">
        <v>312</v>
      </c>
      <c r="B17" s="269"/>
      <c r="C17" s="269"/>
      <c r="D17" s="269"/>
      <c r="E17" s="269"/>
      <c r="F17" s="269"/>
      <c r="G17" s="270">
        <f>SUM(B14:G14)</f>
        <v>28745457.500028573</v>
      </c>
      <c r="K17" s="284" t="s">
        <v>313</v>
      </c>
      <c r="L17" s="285">
        <v>0.3</v>
      </c>
    </row>
    <row r="18" spans="1:12" ht="16.899999999999999" thickBot="1">
      <c r="A18" s="271" t="s">
        <v>314</v>
      </c>
      <c r="B18" s="272"/>
      <c r="C18" s="272"/>
      <c r="D18" s="272"/>
      <c r="E18" s="272"/>
      <c r="F18" s="272"/>
      <c r="G18" s="273">
        <f>(G16-G15)/G15</f>
        <v>4.7221422024355117</v>
      </c>
      <c r="H18" t="s">
        <v>315</v>
      </c>
      <c r="K18" s="286"/>
      <c r="L18" s="287"/>
    </row>
    <row r="19" spans="1:12" ht="15" thickTop="1">
      <c r="K19" s="286" t="s">
        <v>316</v>
      </c>
      <c r="L19" s="285">
        <v>1.1000000000000001</v>
      </c>
    </row>
    <row r="20" spans="1:12" ht="16.149999999999999">
      <c r="A20" s="40" t="s">
        <v>317</v>
      </c>
      <c r="K20" s="286" t="s">
        <v>318</v>
      </c>
      <c r="L20" s="287">
        <f>L16*L19*L17-(L16*L17)</f>
        <v>2100000</v>
      </c>
    </row>
    <row r="21" spans="1:12" ht="15" thickBot="1">
      <c r="K21" s="286"/>
      <c r="L21" s="287"/>
    </row>
    <row r="22" spans="1:12" ht="15.6" thickTop="1" thickBot="1">
      <c r="A22" s="274" t="s">
        <v>319</v>
      </c>
      <c r="B22" s="275" t="s">
        <v>320</v>
      </c>
      <c r="K22" s="286" t="s">
        <v>321</v>
      </c>
      <c r="L22" s="285">
        <v>1.2</v>
      </c>
    </row>
    <row r="23" spans="1:12">
      <c r="A23" s="276" t="s">
        <v>296</v>
      </c>
      <c r="B23" s="277">
        <f>'Obvyklý průběh implementace'!J43</f>
        <v>1795</v>
      </c>
      <c r="K23" s="288" t="s">
        <v>322</v>
      </c>
      <c r="L23" s="289">
        <f>L16*L17*L22-(L16*L17)</f>
        <v>4200000</v>
      </c>
    </row>
    <row r="24" spans="1:12" ht="15" thickBot="1">
      <c r="A24" s="278" t="s">
        <v>298</v>
      </c>
      <c r="B24" s="279">
        <f>'Obvyklý průběh implementace'!K43</f>
        <v>0</v>
      </c>
      <c r="K24" s="286"/>
      <c r="L24" s="287"/>
    </row>
    <row r="25" spans="1:12" ht="15" thickBot="1">
      <c r="A25" s="280" t="s">
        <v>182</v>
      </c>
      <c r="B25" s="281">
        <f>'Obvyklý průběh implementace'!L43</f>
        <v>1795</v>
      </c>
      <c r="K25" s="286"/>
      <c r="L25" s="287"/>
    </row>
    <row r="26" spans="1:12" ht="32.450000000000003" customHeight="1" thickTop="1">
      <c r="K26" s="292" t="s">
        <v>323</v>
      </c>
      <c r="L26" s="293">
        <v>800000</v>
      </c>
    </row>
    <row r="27" spans="1:12">
      <c r="K27" s="286"/>
      <c r="L27" s="287"/>
    </row>
    <row r="28" spans="1:12" ht="15" thickBot="1">
      <c r="K28" s="286"/>
      <c r="L28" s="287"/>
    </row>
    <row r="29" spans="1:12">
      <c r="K29" s="282" t="s">
        <v>324</v>
      </c>
      <c r="L29" s="283">
        <f>L10+L20</f>
        <v>4500000</v>
      </c>
    </row>
    <row r="30" spans="1:12" ht="15" thickBot="1">
      <c r="K30" s="294" t="s">
        <v>325</v>
      </c>
      <c r="L30" s="295">
        <f>L13+L23+L26</f>
        <v>9800000</v>
      </c>
    </row>
  </sheetData>
  <mergeCells count="2">
    <mergeCell ref="A1:G1"/>
    <mergeCell ref="H15:H16"/>
  </mergeCell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7DD28B4E907217438D2C630BBF0D8799" ma:contentTypeVersion="33" ma:contentTypeDescription="Vytvoří nový dokument" ma:contentTypeScope="" ma:versionID="40c04c989e12885c427bf5d8ea0d014d">
  <xsd:schema xmlns:xsd="http://www.w3.org/2001/XMLSchema" xmlns:xs="http://www.w3.org/2001/XMLSchema" xmlns:p="http://schemas.microsoft.com/office/2006/metadata/properties" xmlns:ns3="59b29a63-ab58-4199-9109-a624d1f300e8" xmlns:ns4="c5cd2423-3012-4fc0-a4e4-c4b297a15977" targetNamespace="http://schemas.microsoft.com/office/2006/metadata/properties" ma:root="true" ma:fieldsID="7e82e9989d2cfeb74032dfa36bfa5e9e" ns3:_="" ns4:_="">
    <xsd:import namespace="59b29a63-ab58-4199-9109-a624d1f300e8"/>
    <xsd:import namespace="c5cd2423-3012-4fc0-a4e4-c4b297a15977"/>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Location" minOccurs="0"/>
                <xsd:element ref="ns4:MediaServiceGenerationTime" minOccurs="0"/>
                <xsd:element ref="ns4:MediaServiceEventHashCode" minOccurs="0"/>
                <xsd:element ref="ns4:NotebookType" minOccurs="0"/>
                <xsd:element ref="ns4:FolderType" minOccurs="0"/>
                <xsd:element ref="ns4:CultureName" minOccurs="0"/>
                <xsd:element ref="ns4:AppVersion" minOccurs="0"/>
                <xsd:element ref="ns4:TeamsChannelId" minOccurs="0"/>
                <xsd:element ref="ns4:Owner" minOccurs="0"/>
                <xsd:element ref="ns4:Math_Settings" minOccurs="0"/>
                <xsd:element ref="ns4:DefaultSectionNames" minOccurs="0"/>
                <xsd:element ref="ns4:Templates" minOccurs="0"/>
                <xsd:element ref="ns4:Teachers" minOccurs="0"/>
                <xsd:element ref="ns4:Students" minOccurs="0"/>
                <xsd:element ref="ns4:Student_Groups" minOccurs="0"/>
                <xsd:element ref="ns4:Distribution_Groups" minOccurs="0"/>
                <xsd:element ref="ns4:LMS_Mappings" minOccurs="0"/>
                <xsd:element ref="ns4:Invited_Teachers" minOccurs="0"/>
                <xsd:element ref="ns4:Invited_Students" minOccurs="0"/>
                <xsd:element ref="ns4:Self_Registration_Enabled" minOccurs="0"/>
                <xsd:element ref="ns4:Has_Teacher_Only_SectionGroup" minOccurs="0"/>
                <xsd:element ref="ns4:Is_Collaboration_Space_Locked" minOccurs="0"/>
                <xsd:element ref="ns4:IsNotebookLocked"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b29a63-ab58-4199-9109-a624d1f300e8" elementFormDefault="qualified">
    <xsd:import namespace="http://schemas.microsoft.com/office/2006/documentManagement/types"/>
    <xsd:import namespace="http://schemas.microsoft.com/office/infopath/2007/PartnerControls"/>
    <xsd:element name="SharedWithUsers" ma:index="8" nillable="true" ma:displayName="Sdílí se s"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dílené s podrobnostmi" ma:description="" ma:internalName="SharedWithDetails" ma:readOnly="true">
      <xsd:simpleType>
        <xsd:restriction base="dms:Note">
          <xsd:maxLength value="255"/>
        </xsd:restriction>
      </xsd:simpleType>
    </xsd:element>
    <xsd:element name="SharingHintHash" ma:index="10" nillable="true" ma:displayName="Hodnota hash upozornění na sdílení"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cd2423-3012-4fc0-a4e4-c4b297a15977"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AutoTags" ma:index="14" nillable="true" ma:displayName="MediaServiceAutoTags" ma:description=""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NotebookType" ma:index="19" nillable="true" ma:displayName="Notebook Type" ma:internalName="NotebookType">
      <xsd:simpleType>
        <xsd:restriction base="dms:Text"/>
      </xsd:simpleType>
    </xsd:element>
    <xsd:element name="FolderType" ma:index="20" nillable="true" ma:displayName="Folder Type" ma:internalName="FolderType">
      <xsd:simpleType>
        <xsd:restriction base="dms:Text"/>
      </xsd:simpleType>
    </xsd:element>
    <xsd:element name="CultureName" ma:index="21" nillable="true" ma:displayName="Culture Name" ma:internalName="CultureName">
      <xsd:simpleType>
        <xsd:restriction base="dms:Text"/>
      </xsd:simpleType>
    </xsd:element>
    <xsd:element name="AppVersion" ma:index="22" nillable="true" ma:displayName="App Version" ma:internalName="AppVersion">
      <xsd:simpleType>
        <xsd:restriction base="dms:Text"/>
      </xsd:simpleType>
    </xsd:element>
    <xsd:element name="TeamsChannelId" ma:index="23" nillable="true" ma:displayName="Teams Channel Id" ma:internalName="TeamsChannelId">
      <xsd:simpleType>
        <xsd:restriction base="dms:Text"/>
      </xsd:simpleType>
    </xsd:element>
    <xsd:element name="Owner" ma:index="24"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25" nillable="true" ma:displayName="Math Settings" ma:internalName="Math_Settings">
      <xsd:simpleType>
        <xsd:restriction base="dms:Text"/>
      </xsd:simpleType>
    </xsd:element>
    <xsd:element name="DefaultSectionNames" ma:index="26" nillable="true" ma:displayName="Default Section Names" ma:internalName="DefaultSectionNames">
      <xsd:simpleType>
        <xsd:restriction base="dms:Note">
          <xsd:maxLength value="255"/>
        </xsd:restriction>
      </xsd:simpleType>
    </xsd:element>
    <xsd:element name="Templates" ma:index="27" nillable="true" ma:displayName="Templates" ma:internalName="Templates">
      <xsd:simpleType>
        <xsd:restriction base="dms:Note">
          <xsd:maxLength value="255"/>
        </xsd:restriction>
      </xsd:simpleType>
    </xsd:element>
    <xsd:element name="Teachers" ma:index="28"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29"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30"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31" nillable="true" ma:displayName="Distribution Groups" ma:internalName="Distribution_Groups">
      <xsd:simpleType>
        <xsd:restriction base="dms:Note">
          <xsd:maxLength value="255"/>
        </xsd:restriction>
      </xsd:simpleType>
    </xsd:element>
    <xsd:element name="LMS_Mappings" ma:index="32" nillable="true" ma:displayName="LMS Mappings" ma:internalName="LMS_Mappings">
      <xsd:simpleType>
        <xsd:restriction base="dms:Note">
          <xsd:maxLength value="255"/>
        </xsd:restriction>
      </xsd:simpleType>
    </xsd:element>
    <xsd:element name="Invited_Teachers" ma:index="33" nillable="true" ma:displayName="Invited Teachers" ma:internalName="Invited_Teachers">
      <xsd:simpleType>
        <xsd:restriction base="dms:Note">
          <xsd:maxLength value="255"/>
        </xsd:restriction>
      </xsd:simpleType>
    </xsd:element>
    <xsd:element name="Invited_Students" ma:index="34" nillable="true" ma:displayName="Invited Students" ma:internalName="Invited_Students">
      <xsd:simpleType>
        <xsd:restriction base="dms:Note">
          <xsd:maxLength value="255"/>
        </xsd:restriction>
      </xsd:simpleType>
    </xsd:element>
    <xsd:element name="Self_Registration_Enabled" ma:index="35" nillable="true" ma:displayName="Self Registration Enabled" ma:internalName="Self_Registration_Enabled">
      <xsd:simpleType>
        <xsd:restriction base="dms:Boolean"/>
      </xsd:simpleType>
    </xsd:element>
    <xsd:element name="Has_Teacher_Only_SectionGroup" ma:index="36" nillable="true" ma:displayName="Has Teacher Only SectionGroup" ma:internalName="Has_Teacher_Only_SectionGroup">
      <xsd:simpleType>
        <xsd:restriction base="dms:Boolean"/>
      </xsd:simpleType>
    </xsd:element>
    <xsd:element name="Is_Collaboration_Space_Locked" ma:index="37" nillable="true" ma:displayName="Is Collaboration Space Locked" ma:internalName="Is_Collaboration_Space_Locked">
      <xsd:simpleType>
        <xsd:restriction base="dms:Boolean"/>
      </xsd:simpleType>
    </xsd:element>
    <xsd:element name="IsNotebookLocked" ma:index="38" nillable="true" ma:displayName="Is Notebook Locked" ma:internalName="IsNotebookLocked">
      <xsd:simpleType>
        <xsd:restriction base="dms:Boolean"/>
      </xsd:simpleType>
    </xsd:element>
    <xsd:element name="MediaServiceAutoKeyPoints" ma:index="39" nillable="true" ma:displayName="MediaServiceAutoKeyPoints" ma:hidden="true" ma:internalName="MediaServiceAutoKeyPoints" ma:readOnly="true">
      <xsd:simpleType>
        <xsd:restriction base="dms:Note"/>
      </xsd:simpleType>
    </xsd:element>
    <xsd:element name="MediaServiceKeyPoints" ma:index="4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amsChannelId xmlns="c5cd2423-3012-4fc0-a4e4-c4b297a15977" xsi:nil="true"/>
    <Invited_Students xmlns="c5cd2423-3012-4fc0-a4e4-c4b297a15977" xsi:nil="true"/>
    <DefaultSectionNames xmlns="c5cd2423-3012-4fc0-a4e4-c4b297a15977" xsi:nil="true"/>
    <Templates xmlns="c5cd2423-3012-4fc0-a4e4-c4b297a15977" xsi:nil="true"/>
    <Has_Teacher_Only_SectionGroup xmlns="c5cd2423-3012-4fc0-a4e4-c4b297a15977" xsi:nil="true"/>
    <Is_Collaboration_Space_Locked xmlns="c5cd2423-3012-4fc0-a4e4-c4b297a15977" xsi:nil="true"/>
    <Self_Registration_Enabled xmlns="c5cd2423-3012-4fc0-a4e4-c4b297a15977" xsi:nil="true"/>
    <Distribution_Groups xmlns="c5cd2423-3012-4fc0-a4e4-c4b297a15977" xsi:nil="true"/>
    <LMS_Mappings xmlns="c5cd2423-3012-4fc0-a4e4-c4b297a15977" xsi:nil="true"/>
    <Invited_Teachers xmlns="c5cd2423-3012-4fc0-a4e4-c4b297a15977" xsi:nil="true"/>
    <CultureName xmlns="c5cd2423-3012-4fc0-a4e4-c4b297a15977" xsi:nil="true"/>
    <AppVersion xmlns="c5cd2423-3012-4fc0-a4e4-c4b297a15977" xsi:nil="true"/>
    <NotebookType xmlns="c5cd2423-3012-4fc0-a4e4-c4b297a15977" xsi:nil="true"/>
    <FolderType xmlns="c5cd2423-3012-4fc0-a4e4-c4b297a15977" xsi:nil="true"/>
    <Teachers xmlns="c5cd2423-3012-4fc0-a4e4-c4b297a15977">
      <UserInfo>
        <DisplayName/>
        <AccountId xsi:nil="true"/>
        <AccountType/>
      </UserInfo>
    </Teachers>
    <Students xmlns="c5cd2423-3012-4fc0-a4e4-c4b297a15977">
      <UserInfo>
        <DisplayName/>
        <AccountId xsi:nil="true"/>
        <AccountType/>
      </UserInfo>
    </Students>
    <Student_Groups xmlns="c5cd2423-3012-4fc0-a4e4-c4b297a15977">
      <UserInfo>
        <DisplayName/>
        <AccountId xsi:nil="true"/>
        <AccountType/>
      </UserInfo>
    </Student_Groups>
    <IsNotebookLocked xmlns="c5cd2423-3012-4fc0-a4e4-c4b297a15977" xsi:nil="true"/>
    <Math_Settings xmlns="c5cd2423-3012-4fc0-a4e4-c4b297a15977" xsi:nil="true"/>
    <Owner xmlns="c5cd2423-3012-4fc0-a4e4-c4b297a15977">
      <UserInfo>
        <DisplayName/>
        <AccountId xsi:nil="true"/>
        <AccountType/>
      </UserInfo>
    </Owner>
  </documentManagement>
</p:properties>
</file>

<file path=customXml/itemProps1.xml><?xml version="1.0" encoding="utf-8"?>
<ds:datastoreItem xmlns:ds="http://schemas.openxmlformats.org/officeDocument/2006/customXml" ds:itemID="{93A2BA53-9CDA-4BAE-93C2-3C49EC8840B8}"/>
</file>

<file path=customXml/itemProps2.xml><?xml version="1.0" encoding="utf-8"?>
<ds:datastoreItem xmlns:ds="http://schemas.openxmlformats.org/officeDocument/2006/customXml" ds:itemID="{36F942CD-FA0D-4AF3-832E-5BFE134C8070}"/>
</file>

<file path=customXml/itemProps3.xml><?xml version="1.0" encoding="utf-8"?>
<ds:datastoreItem xmlns:ds="http://schemas.openxmlformats.org/officeDocument/2006/customXml" ds:itemID="{70880A27-2CC8-48F2-8986-73197733EC5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
  <cp:revision/>
  <dcterms:created xsi:type="dcterms:W3CDTF">2020-08-26T11:20:50Z</dcterms:created>
  <dcterms:modified xsi:type="dcterms:W3CDTF">2026-05-07T00:07:50Z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0x0101007DD28B4E907217438D2C630BBF0D8799</vt:lpwstr>
  </property>
</Properties>
</file>